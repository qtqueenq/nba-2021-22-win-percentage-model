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adirqueen/Desktop/"/>
    </mc:Choice>
  </mc:AlternateContent>
  <xr:revisionPtr revIDLastSave="0" documentId="13_ncr:1_{3F018A93-7A15-E94C-A3B6-B24CD61728B7}" xr6:coauthVersionLast="47" xr6:coauthVersionMax="47" xr10:uidLastSave="{00000000-0000-0000-0000-000000000000}"/>
  <bookViews>
    <workbookView xWindow="0" yWindow="500" windowWidth="28800" windowHeight="15940" firstSheet="4" activeTab="10" xr2:uid="{B301986B-4210-F647-BA8B-342DB228C7C6}"/>
  </bookViews>
  <sheets>
    <sheet name="Sheet7" sheetId="7" r:id="rId1"/>
    <sheet name="2(FGM-3PM)+3(3PM)+FTM vs TTW" sheetId="9" r:id="rId2"/>
    <sheet name="2(FGM-3PM)+3(3PM)+FTM vs PPG" sheetId="10" r:id="rId3"/>
    <sheet name="Full Data Sheet" sheetId="1" r:id="rId4"/>
    <sheet name="X1-X4" sheetId="4" r:id="rId5"/>
    <sheet name="xx1-xx4" sheetId="5" r:id="rId6"/>
    <sheet name="Time and Data" sheetId="6" r:id="rId7"/>
    <sheet name="ppg + team ppg vs win %" sheetId="11" r:id="rId8"/>
    <sheet name="ppg + team ppg vs team win" sheetId="13" r:id="rId9"/>
    <sheet name="team ppg+team win vs ppg" sheetId="14" r:id="rId10"/>
    <sheet name="Simplified Data Sheet" sheetId="2" r:id="rId11"/>
    <sheet name="More Simplified Data Sheet" sheetId="8" r:id="rId1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6" i="2" l="1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" i="1"/>
  <c r="Y7" i="8"/>
  <c r="Y8" i="8"/>
  <c r="Y9" i="8"/>
  <c r="Y10" i="8"/>
  <c r="Y15" i="8"/>
  <c r="Y16" i="8"/>
  <c r="Y18" i="8"/>
  <c r="Y24" i="8"/>
  <c r="Y26" i="8"/>
  <c r="Y3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AA32" i="8"/>
  <c r="Z32" i="8"/>
  <c r="I32" i="8"/>
  <c r="J32" i="8" s="1"/>
  <c r="AA31" i="8"/>
  <c r="Z31" i="8"/>
  <c r="Y31" i="8"/>
  <c r="I31" i="8"/>
  <c r="AA30" i="8"/>
  <c r="Z30" i="8"/>
  <c r="Y30" i="8"/>
  <c r="I30" i="8"/>
  <c r="AA29" i="8"/>
  <c r="Z29" i="8"/>
  <c r="Y29" i="8"/>
  <c r="I29" i="8"/>
  <c r="J29" i="8" s="1"/>
  <c r="AA28" i="8"/>
  <c r="Z28" i="8"/>
  <c r="Y28" i="8"/>
  <c r="I28" i="8"/>
  <c r="J28" i="8" s="1"/>
  <c r="AA27" i="8"/>
  <c r="Z27" i="8"/>
  <c r="Y27" i="8"/>
  <c r="I27" i="8"/>
  <c r="AA26" i="8"/>
  <c r="Z26" i="8"/>
  <c r="I26" i="8"/>
  <c r="J26" i="8" s="1"/>
  <c r="X26" i="8" s="1"/>
  <c r="AA25" i="8"/>
  <c r="Z25" i="8"/>
  <c r="Y25" i="8"/>
  <c r="I25" i="8"/>
  <c r="J25" i="8" s="1"/>
  <c r="X25" i="8" s="1"/>
  <c r="AA24" i="8"/>
  <c r="Z24" i="8"/>
  <c r="I24" i="8"/>
  <c r="J24" i="8" s="1"/>
  <c r="AA23" i="8"/>
  <c r="Z23" i="8"/>
  <c r="Y23" i="8"/>
  <c r="I23" i="8"/>
  <c r="AA22" i="8"/>
  <c r="Z22" i="8"/>
  <c r="Y22" i="8"/>
  <c r="I22" i="8"/>
  <c r="J22" i="8" s="1"/>
  <c r="AA21" i="8"/>
  <c r="Z21" i="8"/>
  <c r="Y21" i="8"/>
  <c r="I21" i="8"/>
  <c r="J21" i="8" s="1"/>
  <c r="AA20" i="8"/>
  <c r="Z20" i="8"/>
  <c r="Y20" i="8"/>
  <c r="I20" i="8"/>
  <c r="J20" i="8" s="1"/>
  <c r="X20" i="8" s="1"/>
  <c r="AA19" i="8"/>
  <c r="Z19" i="8"/>
  <c r="Y19" i="8"/>
  <c r="I19" i="8"/>
  <c r="AA18" i="8"/>
  <c r="Z18" i="8"/>
  <c r="I18" i="8"/>
  <c r="J18" i="8" s="1"/>
  <c r="X18" i="8" s="1"/>
  <c r="AA17" i="8"/>
  <c r="Z17" i="8"/>
  <c r="Y17" i="8"/>
  <c r="I17" i="8"/>
  <c r="J17" i="8" s="1"/>
  <c r="X17" i="8" s="1"/>
  <c r="AA16" i="8"/>
  <c r="Z16" i="8"/>
  <c r="I16" i="8"/>
  <c r="AA15" i="8"/>
  <c r="Z15" i="8"/>
  <c r="I15" i="8"/>
  <c r="AA14" i="8"/>
  <c r="Z14" i="8"/>
  <c r="Y14" i="8"/>
  <c r="I14" i="8"/>
  <c r="J14" i="8" s="1"/>
  <c r="AA13" i="8"/>
  <c r="Z13" i="8"/>
  <c r="Y13" i="8"/>
  <c r="I13" i="8"/>
  <c r="J13" i="8" s="1"/>
  <c r="AA12" i="8"/>
  <c r="Z12" i="8"/>
  <c r="Y12" i="8"/>
  <c r="I12" i="8"/>
  <c r="J12" i="8" s="1"/>
  <c r="X12" i="8" s="1"/>
  <c r="AA11" i="8"/>
  <c r="Z11" i="8"/>
  <c r="Y11" i="8"/>
  <c r="I11" i="8"/>
  <c r="AA10" i="8"/>
  <c r="Z10" i="8"/>
  <c r="I10" i="8"/>
  <c r="J10" i="8" s="1"/>
  <c r="X10" i="8" s="1"/>
  <c r="AA9" i="8"/>
  <c r="Z9" i="8"/>
  <c r="I9" i="8"/>
  <c r="J9" i="8" s="1"/>
  <c r="X9" i="8" s="1"/>
  <c r="AA8" i="8"/>
  <c r="Z8" i="8"/>
  <c r="I8" i="8"/>
  <c r="AA7" i="8"/>
  <c r="Z7" i="8"/>
  <c r="I7" i="8"/>
  <c r="AA6" i="8"/>
  <c r="Z6" i="8"/>
  <c r="Y6" i="8"/>
  <c r="I6" i="8"/>
  <c r="AA5" i="8"/>
  <c r="Z5" i="8"/>
  <c r="Y5" i="8"/>
  <c r="I5" i="8"/>
  <c r="J5" i="8" s="1"/>
  <c r="AA4" i="8"/>
  <c r="Z4" i="8"/>
  <c r="Y4" i="8"/>
  <c r="I4" i="8"/>
  <c r="J4" i="8" s="1"/>
  <c r="X4" i="8" s="1"/>
  <c r="AA3" i="8"/>
  <c r="Z3" i="8"/>
  <c r="Y3" i="8"/>
  <c r="I3" i="8"/>
  <c r="I6" i="2"/>
  <c r="J6" i="2" s="1"/>
  <c r="Q6" i="2" s="1"/>
  <c r="I7" i="2"/>
  <c r="J7" i="2" s="1"/>
  <c r="Q7" i="2" s="1"/>
  <c r="I8" i="2"/>
  <c r="J8" i="2" s="1"/>
  <c r="Q8" i="2" s="1"/>
  <c r="I9" i="2"/>
  <c r="J9" i="2" s="1"/>
  <c r="Q9" i="2" s="1"/>
  <c r="I10" i="2"/>
  <c r="J10" i="2" s="1"/>
  <c r="Q10" i="2" s="1"/>
  <c r="I11" i="2"/>
  <c r="J11" i="2" s="1"/>
  <c r="Q11" i="2" s="1"/>
  <c r="I12" i="2"/>
  <c r="J12" i="2" s="1"/>
  <c r="Q12" i="2" s="1"/>
  <c r="I13" i="2"/>
  <c r="I14" i="2"/>
  <c r="I15" i="2"/>
  <c r="I16" i="2"/>
  <c r="J16" i="2" s="1"/>
  <c r="Q16" i="2" s="1"/>
  <c r="I17" i="2"/>
  <c r="J17" i="2" s="1"/>
  <c r="Q17" i="2" s="1"/>
  <c r="I18" i="2"/>
  <c r="J18" i="2" s="1"/>
  <c r="Q18" i="2" s="1"/>
  <c r="I19" i="2"/>
  <c r="I20" i="2"/>
  <c r="I21" i="2"/>
  <c r="I22" i="2"/>
  <c r="J22" i="2" s="1"/>
  <c r="Q22" i="2" s="1"/>
  <c r="I23" i="2"/>
  <c r="J23" i="2" s="1"/>
  <c r="Q23" i="2" s="1"/>
  <c r="I24" i="2"/>
  <c r="J24" i="2" s="1"/>
  <c r="Q24" i="2" s="1"/>
  <c r="I25" i="2"/>
  <c r="J25" i="2" s="1"/>
  <c r="Q25" i="2" s="1"/>
  <c r="I26" i="2"/>
  <c r="J26" i="2" s="1"/>
  <c r="Q26" i="2" s="1"/>
  <c r="I27" i="2"/>
  <c r="J27" i="2" s="1"/>
  <c r="Q27" i="2" s="1"/>
  <c r="I28" i="2"/>
  <c r="J28" i="2" s="1"/>
  <c r="Q28" i="2" s="1"/>
  <c r="I29" i="2"/>
  <c r="I30" i="2"/>
  <c r="J30" i="2" s="1"/>
  <c r="Q30" i="2" s="1"/>
  <c r="I31" i="2"/>
  <c r="J31" i="2" s="1"/>
  <c r="Q31" i="2" s="1"/>
  <c r="I32" i="2"/>
  <c r="J32" i="2" s="1"/>
  <c r="Q32" i="2" s="1"/>
  <c r="I33" i="2"/>
  <c r="J33" i="2" s="1"/>
  <c r="Q33" i="2" s="1"/>
  <c r="I34" i="2"/>
  <c r="J34" i="2" s="1"/>
  <c r="Q34" i="2" s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R5" i="2"/>
  <c r="S5" i="2"/>
  <c r="T5" i="2"/>
  <c r="J19" i="2"/>
  <c r="Q19" i="2" s="1"/>
  <c r="J20" i="2"/>
  <c r="Q20" i="2" s="1"/>
  <c r="J13" i="2"/>
  <c r="Q13" i="2" s="1"/>
  <c r="J14" i="2"/>
  <c r="Q14" i="2" s="1"/>
  <c r="J15" i="2"/>
  <c r="Q15" i="2" s="1"/>
  <c r="J21" i="2"/>
  <c r="Q21" i="2" s="1"/>
  <c r="J29" i="2"/>
  <c r="Q29" i="2" s="1"/>
  <c r="I5" i="2"/>
  <c r="J5" i="2" s="1"/>
  <c r="Q5" i="2" s="1"/>
  <c r="J30" i="8" l="1"/>
  <c r="X30" i="8" s="1"/>
  <c r="J6" i="8"/>
  <c r="X6" i="8" s="1"/>
  <c r="X21" i="8"/>
  <c r="X5" i="8"/>
  <c r="J16" i="8"/>
  <c r="X16" i="8" s="1"/>
  <c r="J8" i="8"/>
  <c r="X8" i="8" s="1"/>
  <c r="X14" i="8"/>
  <c r="X29" i="8"/>
  <c r="X22" i="8"/>
  <c r="X24" i="8"/>
  <c r="X28" i="8"/>
  <c r="X32" i="8"/>
  <c r="X13" i="8"/>
  <c r="J31" i="8"/>
  <c r="X31" i="8" s="1"/>
  <c r="J27" i="8"/>
  <c r="X27" i="8" s="1"/>
  <c r="J23" i="8"/>
  <c r="X23" i="8" s="1"/>
  <c r="J19" i="8"/>
  <c r="X19" i="8" s="1"/>
  <c r="J15" i="8"/>
  <c r="X15" i="8" s="1"/>
  <c r="J11" i="8"/>
  <c r="X11" i="8" s="1"/>
  <c r="J7" i="8"/>
  <c r="X7" i="8" s="1"/>
  <c r="J3" i="8"/>
  <c r="X3" i="8" s="1"/>
</calcChain>
</file>

<file path=xl/sharedStrings.xml><?xml version="1.0" encoding="utf-8"?>
<sst xmlns="http://schemas.openxmlformats.org/spreadsheetml/2006/main" count="665" uniqueCount="137">
  <si>
    <t>Kevin Durant</t>
  </si>
  <si>
    <t>Stephen Curry</t>
  </si>
  <si>
    <t>Giannis Antetokounmpo</t>
  </si>
  <si>
    <t>Trae Young</t>
  </si>
  <si>
    <t>DeMar DeRozan</t>
  </si>
  <si>
    <t>Paul George</t>
  </si>
  <si>
    <t>Nikola Jokic</t>
  </si>
  <si>
    <t>Luka Doncic</t>
  </si>
  <si>
    <t>Jayson Tatum</t>
  </si>
  <si>
    <t>Anthony Davis</t>
  </si>
  <si>
    <t>Ja Morant</t>
  </si>
  <si>
    <t>Karl-Anthony Towns</t>
  </si>
  <si>
    <t>Jimmy Butler</t>
  </si>
  <si>
    <t>Devin Booker</t>
  </si>
  <si>
    <t>Donovan Mitchell</t>
  </si>
  <si>
    <t>Bradley Beal</t>
  </si>
  <si>
    <t>Brandon Ingram</t>
  </si>
  <si>
    <t>Damian Lillard</t>
  </si>
  <si>
    <t>Shai Gilgeous-Alexander</t>
  </si>
  <si>
    <t>Malcolm Brogdon</t>
  </si>
  <si>
    <t>De'Aaron Fox</t>
  </si>
  <si>
    <t>LaMelo Ball</t>
  </si>
  <si>
    <t>Cole Anthony</t>
  </si>
  <si>
    <t>Fred VanVleet</t>
  </si>
  <si>
    <t>Jerami Grant</t>
  </si>
  <si>
    <t>Julius Randle</t>
  </si>
  <si>
    <t>Dejounte Murray</t>
  </si>
  <si>
    <t>Darius Garland</t>
  </si>
  <si>
    <t>Tyrese Maxey</t>
  </si>
  <si>
    <t>#</t>
  </si>
  <si>
    <t>PLAYER</t>
  </si>
  <si>
    <t>GP</t>
  </si>
  <si>
    <t>MIN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</si>
  <si>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</si>
  <si>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</si>
  <si>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</si>
  <si>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</si>
  <si>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</si>
  <si>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</si>
  <si>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</si>
  <si>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</si>
  <si>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</si>
  <si>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</si>
  <si>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</si>
  <si>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</si>
  <si>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</si>
  <si>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</si>
  <si>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STL</t>
  </si>
  <si>
    <t>BLK</t>
  </si>
  <si>
    <t>TOV</t>
  </si>
  <si>
    <t>EFF</t>
  </si>
  <si>
    <t>Team</t>
  </si>
  <si>
    <t>Brookyln Nets</t>
  </si>
  <si>
    <t>Golden State Warriors</t>
  </si>
  <si>
    <t>Milwaukee Bucks</t>
  </si>
  <si>
    <t>Atlanta Hawks</t>
  </si>
  <si>
    <t>Boston Celtics</t>
  </si>
  <si>
    <t>Charlotte Hornets</t>
  </si>
  <si>
    <t>Chicago Bulls</t>
  </si>
  <si>
    <t>Cleveland Cavaliers</t>
  </si>
  <si>
    <t>Dallas Mavericks</t>
  </si>
  <si>
    <t>Denver Nuggets</t>
  </si>
  <si>
    <t>Detroit Pistons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</si>
  <si>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</si>
  <si>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</si>
  <si>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</si>
  <si>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</si>
  <si>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</si>
  <si>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</si>
  <si>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</si>
  <si>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</si>
  <si>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</si>
  <si>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</si>
  <si>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</si>
  <si>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</si>
  <si>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</si>
  <si>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</si>
  <si>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</si>
  <si>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</si>
  <si>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</si>
  <si>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</si>
  <si>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</si>
  <si>
    <t>Christian Wood</t>
  </si>
  <si>
    <t>TEAM WIN %</t>
  </si>
  <si>
    <t>TEAM PTS</t>
  </si>
  <si>
    <t>PTS%</t>
  </si>
  <si>
    <t>x1</t>
  </si>
  <si>
    <t>x2</t>
  </si>
  <si>
    <t>x3</t>
  </si>
  <si>
    <t>x4</t>
  </si>
  <si>
    <t>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</si>
  <si>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</si>
  <si>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</si>
  <si>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</si>
  <si>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</si>
  <si>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</si>
  <si>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</si>
  <si>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</si>
  <si>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</si>
  <si>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</si>
  <si>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</si>
  <si>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</si>
  <si>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</si>
  <si>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</si>
  <si>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</si>
  <si>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</si>
  <si>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</si>
  <si>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</si>
  <si>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</si>
  <si>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</si>
  <si>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</si>
  <si>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</si>
  <si>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</si>
  <si>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</si>
  <si>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</si>
  <si>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TEAM WIN%</t>
  </si>
  <si>
    <t>TEAM WIN</t>
  </si>
  <si>
    <t>Scoring Rank (In NBA)</t>
  </si>
  <si>
    <t>X1</t>
  </si>
  <si>
    <t>X2</t>
  </si>
  <si>
    <t>X3</t>
  </si>
  <si>
    <t>X4</t>
  </si>
  <si>
    <t>Y</t>
  </si>
  <si>
    <t>xx1</t>
  </si>
  <si>
    <t>xx2</t>
  </si>
  <si>
    <t>xx3</t>
  </si>
  <si>
    <t>xx4</t>
  </si>
  <si>
    <t>3PM*3</t>
  </si>
  <si>
    <t>(FG-3PM)*2</t>
  </si>
  <si>
    <t>RESIDUAL OUTPUT</t>
  </si>
  <si>
    <t>Observation</t>
  </si>
  <si>
    <t>Predicted TEAM WIN</t>
  </si>
  <si>
    <t>Residuals</t>
  </si>
  <si>
    <t>Predicted PTS</t>
  </si>
  <si>
    <t>Predicted TEAM WIN %</t>
  </si>
  <si>
    <t>player ppg rank</t>
  </si>
  <si>
    <t>team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</si>
</sst>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rgb="FF333333"/>
      <name val="Helvetica"/>
      <family val="2"/>
    </font>
    <font>
      <u/>
      <sz val="12"/>
      <color theme="10"/>
      <name val="Calibri"/>
      <family val="2"/>
      <scheme val="minor"/>
    </font>
    <font>
      <sz val="12"/>
      <color rgb="FF545454"/>
      <name val="Helvetica"/>
      <family val="2"/>
    </font>
    <font>
      <sz val="12"/>
      <color rgb="FFFFFFFF"/>
      <name val="Helvetica"/>
      <family val="2"/>
    </font>
    <font>
      <sz val="12"/>
      <color theme="1"/>
      <name val="Helvetica"/>
      <family val="2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Continuous"/>
    </xf>
    <xf numFmtId="2" fontId="5" fillId="0" borderId="0" xfId="0" applyNumberFormat="1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Residual: TEAM WIN% vs TEAM PPG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192869641294838"/>
                  <c:y val="-2.81266404199475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'Simplified Data Sheet'!$H$5:$H$34</c:f>
              <c:numCache>
                <c:formatCode>General</c:formatCode>
                <c:ptCount val="30"/>
                <c:pt idx="0">
                  <c:v>109.6</c:v>
                </c:pt>
                <c:pt idx="1">
                  <c:v>113.1</c:v>
                </c:pt>
                <c:pt idx="2">
                  <c:v>110.6</c:v>
                </c:pt>
                <c:pt idx="3">
                  <c:v>110.5</c:v>
                </c:pt>
                <c:pt idx="4">
                  <c:v>109.1</c:v>
                </c:pt>
                <c:pt idx="5">
                  <c:v>105.6</c:v>
                </c:pt>
                <c:pt idx="6">
                  <c:v>103.6</c:v>
                </c:pt>
                <c:pt idx="7">
                  <c:v>106</c:v>
                </c:pt>
                <c:pt idx="8">
                  <c:v>106.3</c:v>
                </c:pt>
                <c:pt idx="9">
                  <c:v>111.6</c:v>
                </c:pt>
                <c:pt idx="10">
                  <c:v>110</c:v>
                </c:pt>
                <c:pt idx="11">
                  <c:v>108</c:v>
                </c:pt>
                <c:pt idx="12">
                  <c:v>107.7</c:v>
                </c:pt>
                <c:pt idx="13">
                  <c:v>112.2</c:v>
                </c:pt>
                <c:pt idx="14">
                  <c:v>113.1</c:v>
                </c:pt>
                <c:pt idx="15">
                  <c:v>106.2</c:v>
                </c:pt>
                <c:pt idx="16">
                  <c:v>103</c:v>
                </c:pt>
                <c:pt idx="17">
                  <c:v>110.4</c:v>
                </c:pt>
                <c:pt idx="18">
                  <c:v>99</c:v>
                </c:pt>
                <c:pt idx="19">
                  <c:v>107.4</c:v>
                </c:pt>
                <c:pt idx="20">
                  <c:v>110</c:v>
                </c:pt>
                <c:pt idx="21">
                  <c:v>114.9</c:v>
                </c:pt>
                <c:pt idx="22">
                  <c:v>100</c:v>
                </c:pt>
                <c:pt idx="23">
                  <c:v>105.2</c:v>
                </c:pt>
                <c:pt idx="24">
                  <c:v>98.7</c:v>
                </c:pt>
                <c:pt idx="25">
                  <c:v>106.5</c:v>
                </c:pt>
                <c:pt idx="26">
                  <c:v>107.2</c:v>
                </c:pt>
                <c:pt idx="27">
                  <c:v>103.9</c:v>
                </c:pt>
                <c:pt idx="28">
                  <c:v>106.5</c:v>
                </c:pt>
                <c:pt idx="29">
                  <c:v>104</c:v>
                </c:pt>
              </c:numCache>
            </c:numRef>
          </c:xVal>
          <c:yVal>
            <c:numRef>
              <c:f>'Simplified Data Sheet'!$W$5:$W$34</c:f>
              <c:numCache>
                <c:formatCode>General</c:formatCode>
                <c:ptCount val="30"/>
                <c:pt idx="0">
                  <c:v>0.71399999999999997</c:v>
                </c:pt>
                <c:pt idx="1">
                  <c:v>0.85699999999999998</c:v>
                </c:pt>
                <c:pt idx="2">
                  <c:v>0.63600000000000001</c:v>
                </c:pt>
                <c:pt idx="3">
                  <c:v>0.54500000000000004</c:v>
                </c:pt>
                <c:pt idx="4">
                  <c:v>0.63600000000000001</c:v>
                </c:pt>
                <c:pt idx="5">
                  <c:v>0.5</c:v>
                </c:pt>
                <c:pt idx="6">
                  <c:v>0.47599999999999998</c:v>
                </c:pt>
                <c:pt idx="7">
                  <c:v>0.55000000000000004</c:v>
                </c:pt>
                <c:pt idx="8">
                  <c:v>0.54500000000000004</c:v>
                </c:pt>
                <c:pt idx="9">
                  <c:v>0.52200000000000002</c:v>
                </c:pt>
                <c:pt idx="10">
                  <c:v>0.52400000000000002</c:v>
                </c:pt>
                <c:pt idx="11">
                  <c:v>0.5</c:v>
                </c:pt>
                <c:pt idx="12">
                  <c:v>0.59099999999999997</c:v>
                </c:pt>
                <c:pt idx="13">
                  <c:v>0.85699999999999998</c:v>
                </c:pt>
                <c:pt idx="14">
                  <c:v>0.66700000000000004</c:v>
                </c:pt>
                <c:pt idx="15">
                  <c:v>0.63600000000000001</c:v>
                </c:pt>
                <c:pt idx="16">
                  <c:v>0.25</c:v>
                </c:pt>
                <c:pt idx="17">
                  <c:v>0.5</c:v>
                </c:pt>
                <c:pt idx="18">
                  <c:v>0.28599999999999998</c:v>
                </c:pt>
                <c:pt idx="19">
                  <c:v>0.375</c:v>
                </c:pt>
                <c:pt idx="20">
                  <c:v>0.39100000000000001</c:v>
                </c:pt>
                <c:pt idx="21">
                  <c:v>0.54200000000000004</c:v>
                </c:pt>
                <c:pt idx="22">
                  <c:v>0.217</c:v>
                </c:pt>
                <c:pt idx="23">
                  <c:v>0.40899999999999997</c:v>
                </c:pt>
                <c:pt idx="24">
                  <c:v>0.19</c:v>
                </c:pt>
                <c:pt idx="25">
                  <c:v>0.52400000000000002</c:v>
                </c:pt>
                <c:pt idx="26">
                  <c:v>0.316</c:v>
                </c:pt>
                <c:pt idx="27">
                  <c:v>0.54500000000000004</c:v>
                </c:pt>
                <c:pt idx="28">
                  <c:v>0.5</c:v>
                </c:pt>
                <c:pt idx="29">
                  <c:v>0.23799999999999999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75-884C-8C5C-581893A6C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5968928"/>
        <c:axId val="1665970576"/>
      </c:scatterChart>
      <c:valAx>
        <c:axId val="166596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Team Average</a:t>
                </a:r>
                <a:r>
                  <a:rPr lang="en-US" baseline="0"/>
                  <a:t> PPG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70576"/>
        <c:crosses val="autoZero"/>
        <c:crossBetween val="midCat"/>
      </c:valAx>
      <c:valAx>
        <c:axId val="166597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Team</a:t>
                </a:r>
                <a:r>
                  <a:rPr lang="en-US" baseline="0"/>
                  <a:t> Win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6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Residual: TEAM WIN% vs PPG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'Simplified Data Sheet'!$G$5:$G$34</c:f>
              <c:numCache>
                <c:formatCode>General</c:formatCode>
                <c:ptCount val="30"/>
                <c:pt idx="0">
                  <c:v>28.6</c:v>
                </c:pt>
                <c:pt idx="1">
                  <c:v>27.8</c:v>
                </c:pt>
                <c:pt idx="2">
                  <c:v>27.6</c:v>
                </c:pt>
                <c:pt idx="3">
                  <c:v>26.3</c:v>
                </c:pt>
                <c:pt idx="4">
                  <c:v>25.9</c:v>
                </c:pt>
                <c:pt idx="5">
                  <c:v>25.9</c:v>
                </c:pt>
                <c:pt idx="6">
                  <c:v>25.7</c:v>
                </c:pt>
                <c:pt idx="7">
                  <c:v>25.6</c:v>
                </c:pt>
                <c:pt idx="8">
                  <c:v>24.4</c:v>
                </c:pt>
                <c:pt idx="9">
                  <c:v>24.3</c:v>
                </c:pt>
                <c:pt idx="10">
                  <c:v>24.1</c:v>
                </c:pt>
                <c:pt idx="11">
                  <c:v>24</c:v>
                </c:pt>
                <c:pt idx="12">
                  <c:v>23.6</c:v>
                </c:pt>
                <c:pt idx="13">
                  <c:v>23.2</c:v>
                </c:pt>
                <c:pt idx="14">
                  <c:v>23.2</c:v>
                </c:pt>
                <c:pt idx="15">
                  <c:v>22.7</c:v>
                </c:pt>
                <c:pt idx="16">
                  <c:v>21.8</c:v>
                </c:pt>
                <c:pt idx="17">
                  <c:v>21.5</c:v>
                </c:pt>
                <c:pt idx="18">
                  <c:v>21.2</c:v>
                </c:pt>
                <c:pt idx="19">
                  <c:v>21</c:v>
                </c:pt>
                <c:pt idx="20">
                  <c:v>20.3</c:v>
                </c:pt>
                <c:pt idx="21">
                  <c:v>20</c:v>
                </c:pt>
                <c:pt idx="22">
                  <c:v>19.899999999999999</c:v>
                </c:pt>
                <c:pt idx="23">
                  <c:v>19.899999999999999</c:v>
                </c:pt>
                <c:pt idx="24">
                  <c:v>19.5</c:v>
                </c:pt>
                <c:pt idx="25">
                  <c:v>19.399999999999999</c:v>
                </c:pt>
                <c:pt idx="26">
                  <c:v>19.100000000000001</c:v>
                </c:pt>
                <c:pt idx="27">
                  <c:v>18.5</c:v>
                </c:pt>
                <c:pt idx="28">
                  <c:v>17.5</c:v>
                </c:pt>
                <c:pt idx="29">
                  <c:v>16</c:v>
                </c:pt>
              </c:numCache>
            </c:numRef>
          </c:xVal>
          <c:yVal>
            <c:numRef>
              <c:f>'Simplified Data Sheet'!$W$5:$W$34</c:f>
              <c:numCache>
                <c:formatCode>General</c:formatCode>
                <c:ptCount val="30"/>
                <c:pt idx="0">
                  <c:v>0.71399999999999997</c:v>
                </c:pt>
                <c:pt idx="1">
                  <c:v>0.85699999999999998</c:v>
                </c:pt>
                <c:pt idx="2">
                  <c:v>0.63600000000000001</c:v>
                </c:pt>
                <c:pt idx="3">
                  <c:v>0.54500000000000004</c:v>
                </c:pt>
                <c:pt idx="4">
                  <c:v>0.63600000000000001</c:v>
                </c:pt>
                <c:pt idx="5">
                  <c:v>0.5</c:v>
                </c:pt>
                <c:pt idx="6">
                  <c:v>0.47599999999999998</c:v>
                </c:pt>
                <c:pt idx="7">
                  <c:v>0.55000000000000004</c:v>
                </c:pt>
                <c:pt idx="8">
                  <c:v>0.54500000000000004</c:v>
                </c:pt>
                <c:pt idx="9">
                  <c:v>0.52200000000000002</c:v>
                </c:pt>
                <c:pt idx="10">
                  <c:v>0.52400000000000002</c:v>
                </c:pt>
                <c:pt idx="11">
                  <c:v>0.5</c:v>
                </c:pt>
                <c:pt idx="12">
                  <c:v>0.59099999999999997</c:v>
                </c:pt>
                <c:pt idx="13">
                  <c:v>0.85699999999999998</c:v>
                </c:pt>
                <c:pt idx="14">
                  <c:v>0.66700000000000004</c:v>
                </c:pt>
                <c:pt idx="15">
                  <c:v>0.63600000000000001</c:v>
                </c:pt>
                <c:pt idx="16">
                  <c:v>0.25</c:v>
                </c:pt>
                <c:pt idx="17">
                  <c:v>0.5</c:v>
                </c:pt>
                <c:pt idx="18">
                  <c:v>0.28599999999999998</c:v>
                </c:pt>
                <c:pt idx="19">
                  <c:v>0.375</c:v>
                </c:pt>
                <c:pt idx="20">
                  <c:v>0.39100000000000001</c:v>
                </c:pt>
                <c:pt idx="21">
                  <c:v>0.54200000000000004</c:v>
                </c:pt>
                <c:pt idx="22">
                  <c:v>0.217</c:v>
                </c:pt>
                <c:pt idx="23">
                  <c:v>0.40899999999999997</c:v>
                </c:pt>
                <c:pt idx="24">
                  <c:v>0.19</c:v>
                </c:pt>
                <c:pt idx="25">
                  <c:v>0.52400000000000002</c:v>
                </c:pt>
                <c:pt idx="26">
                  <c:v>0.316</c:v>
                </c:pt>
                <c:pt idx="27">
                  <c:v>0.54500000000000004</c:v>
                </c:pt>
                <c:pt idx="28">
                  <c:v>0.5</c:v>
                </c:pt>
                <c:pt idx="29">
                  <c:v>0.23799999999999999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94-094D-AB96-4564EB916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228079"/>
        <c:axId val="1288178975"/>
      </c:scatterChart>
      <c:valAx>
        <c:axId val="128822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Player</a:t>
                </a:r>
                <a:r>
                  <a:rPr lang="en-US" baseline="0"/>
                  <a:t> Average PPG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78975"/>
        <c:crosses val="autoZero"/>
        <c:crossBetween val="midCat"/>
      </c:valAx>
      <c:valAx>
        <c:axId val="128817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Team Win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22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474133</xdr:colOff>
      <xdr:row>37</xdr:row>
      <xdr:rowOff>127001</xdr:rowOff>
    </xdr:from>
    <xdr:to>
      <xdr:col>7</xdr:col>
      <xdr:colOff>135467</xdr:colOff>
      <xdr:row>51</xdr:row>
      <xdr:rowOff>25401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9B889C-CEBE-D64E-AA34-51F2433D0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270933</xdr:colOff>
      <xdr:row>28</xdr:row>
      <xdr:rowOff>143934</xdr:rowOff>
    </xdr:from>
    <xdr:to>
      <xdr:col>14</xdr:col>
      <xdr:colOff>643466</xdr:colOff>
      <xdr:row>42</xdr:row>
      <xdr:rowOff>42334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C331EA-1931-9E44-BB3F-A5A96E427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ba.com/stats/events/?flag=1&amp;CFID=&amp;CFPARAMS=&amp;PlayerID=203076&amp;TeamID=0&amp;GameID=&amp;ContextMeasure=AST&amp;Season=2021-22&amp;SeasonType=Regular%20Season&amp;LeagueID=00&amp;PerMode=PerGame&amp;Scope=S&amp;StatCategory=PTS&amp;section=leaders" TargetMode="External"/><Relationship Id="rId299" Type="http://schemas.openxmlformats.org/officeDocument/2006/relationships/hyperlink" Target="https://www.nba.com/stats/events/?flag=1&amp;CFID=&amp;CFPARAMS=&amp;PlayerID=203924&amp;TeamID=0&amp;GameID=&amp;ContextMeasure=BLK&amp;Season=2021-22&amp;SeasonType=Regular%20Season&amp;LeagueID=00&amp;PerMode=PerGame&amp;Scope=S&amp;StatCategory=PTS&amp;section=leaders" TargetMode="External"/><Relationship Id="rId21" Type="http://schemas.openxmlformats.org/officeDocument/2006/relationships/hyperlink" Target="https://www.nba.com/stats/events/?flag=1&amp;CFID=&amp;CFPARAMS=&amp;PlayerID=201939&amp;TeamID=0&amp;GameID=&amp;ContextMeasure=AST&amp;Season=2021-22&amp;SeasonType=Regular%20Season&amp;LeagueID=00&amp;PerMode=PerGame&amp;Scope=S&amp;StatCategory=PTS&amp;section=leaders" TargetMode="External"/><Relationship Id="rId63" Type="http://schemas.openxmlformats.org/officeDocument/2006/relationships/hyperlink" Target="https://www.nba.com/stats/events/?flag=3&amp;CFID=&amp;CFPARAMS=&amp;PlayerID=202331&amp;TeamID=0&amp;GameID=&amp;ContextMeasure=FGA&amp;Season=2021-22&amp;SeasonType=Regular%20Season&amp;LeagueID=00&amp;PerMode=PerGame&amp;Scope=S&amp;StatCategory=PTS&amp;section=leaders" TargetMode="External"/><Relationship Id="rId159" Type="http://schemas.openxmlformats.org/officeDocument/2006/relationships/hyperlink" Target="https://www.nba.com/stats/events/?flag=3&amp;CFID=&amp;CFPARAMS=&amp;PlayerID=1626164&amp;TeamID=0&amp;GameID=&amp;ContextMeasure=FGA&amp;Season=2021-22&amp;SeasonType=Regular%20Season&amp;LeagueID=00&amp;PerMode=PerGame&amp;Scope=S&amp;StatCategory=PTS&amp;section=leaders" TargetMode="External"/><Relationship Id="rId324" Type="http://schemas.openxmlformats.org/officeDocument/2006/relationships/hyperlink" Target="https://www.nba.com/stats/events/?flag=1&amp;CFID=&amp;CFPARAMS=&amp;PlayerID=1627749&amp;TeamID=0&amp;GameID=&amp;ContextMeasure=TOV&amp;Season=2021-22&amp;SeasonType=Regular%20Season&amp;LeagueID=00&amp;PerMode=PerGame&amp;Scope=S&amp;StatCategory=PTS&amp;section=leaders" TargetMode="External"/><Relationship Id="rId366" Type="http://schemas.openxmlformats.org/officeDocument/2006/relationships/hyperlink" Target="https://www.nba.com/stats/events/?flag=3&amp;CFID=&amp;CFPARAMS=&amp;PlayerID=202331&amp;TeamID=0&amp;GameID=&amp;ContextMeasure=FGA&amp;Season=2021-22&amp;SeasonType=Regular%20Season&amp;LeagueID=00&amp;PerMode=PerGame&amp;Scope=S&amp;StatCategory=PTS&amp;section=leaders" TargetMode="External"/><Relationship Id="rId170" Type="http://schemas.openxmlformats.org/officeDocument/2006/relationships/hyperlink" Target="https://www.nba.com/stats/events/?flag=3&amp;CFID=&amp;CFPARAMS=&amp;PlayerID=1628378&amp;TeamID=0&amp;GameID=&amp;ContextMeasure=FGM&amp;Season=2021-22&amp;SeasonType=Regular%20Season&amp;LeagueID=00&amp;PerMode=PerGame&amp;Scope=S&amp;StatCategory=PTS&amp;section=leaders" TargetMode="External"/><Relationship Id="rId226" Type="http://schemas.openxmlformats.org/officeDocument/2006/relationships/hyperlink" Target="https://www.nba.com/stats/events/?flag=1&amp;CFID=&amp;CFPARAMS=&amp;PlayerID=1628983&amp;TeamID=0&amp;GameID=&amp;ContextMeasure=STL&amp;Season=2021-22&amp;SeasonType=Regular%20Season&amp;LeagueID=00&amp;PerMode=PerGame&amp;Scope=S&amp;StatCategory=PTS&amp;section=leaders" TargetMode="External"/><Relationship Id="rId268" Type="http://schemas.openxmlformats.org/officeDocument/2006/relationships/hyperlink" Target="https://www.nba.com/stats/events/?flag=3&amp;CFID=&amp;CFPARAMS=&amp;PlayerID=1630175&amp;TeamID=0&amp;GameID=&amp;ContextMeasure=FG3M&amp;Season=2021-22&amp;SeasonType=Regular%20Season&amp;LeagueID=00&amp;PerMode=PerGame&amp;Scope=S&amp;StatCategory=PTS&amp;section=leaders" TargetMode="External"/><Relationship Id="rId32" Type="http://schemas.openxmlformats.org/officeDocument/2006/relationships/hyperlink" Target="https://www.nba.com/stats/events/?flag=1&amp;CFID=&amp;CFPARAMS=&amp;PlayerID=203507&amp;TeamID=0&amp;GameID=&amp;ContextMeasure=REB&amp;Season=2021-22&amp;SeasonType=Regular%20Season&amp;LeagueID=00&amp;PerMode=PerGame&amp;Scope=S&amp;StatCategory=PTS&amp;section=leaders" TargetMode="External"/><Relationship Id="rId74" Type="http://schemas.openxmlformats.org/officeDocument/2006/relationships/hyperlink" Target="https://www.nba.com/stats/events/?flag=3&amp;CFID=&amp;CFPARAMS=&amp;PlayerID=203999&amp;TeamID=0&amp;GameID=&amp;ContextMeasure=FGM&amp;Season=2021-22&amp;SeasonType=Regular%20Season&amp;LeagueID=00&amp;PerMode=PerGame&amp;Scope=S&amp;StatCategory=PTS&amp;section=leaders" TargetMode="External"/><Relationship Id="rId128" Type="http://schemas.openxmlformats.org/officeDocument/2006/relationships/hyperlink" Target="https://www.nba.com/stats/events/?flag=1&amp;CFID=&amp;CFPARAMS=&amp;PlayerID=1629630&amp;TeamID=0&amp;GameID=&amp;ContextMeasure=REB&amp;Season=2021-22&amp;SeasonType=Regular%20Season&amp;LeagueID=00&amp;PerMode=PerGame&amp;Scope=S&amp;StatCategory=PTS&amp;section=leaders" TargetMode="External"/><Relationship Id="rId335" Type="http://schemas.openxmlformats.org/officeDocument/2006/relationships/hyperlink" Target="https://www.nba.com/stats/events/?flag=1&amp;CFID=&amp;CFPARAMS=&amp;PlayerID=1629636&amp;TeamID=0&amp;GameID=&amp;ContextMeasure=BLK&amp;Season=2021-22&amp;SeasonType=Regular%20Season&amp;LeagueID=00&amp;PerMode=PerGame&amp;Scope=S&amp;StatCategory=PTS&amp;section=leaders" TargetMode="External"/><Relationship Id="rId377" Type="http://schemas.openxmlformats.org/officeDocument/2006/relationships/hyperlink" Target="https://www.nba.com/stats/events/?flag=3&amp;CFID=&amp;CFPARAMS=&amp;PlayerID=1627742&amp;TeamID=0&amp;GameID=&amp;ContextMeasure=FGA&amp;Season=2021-22&amp;SeasonType=Regular%20Season&amp;LeagueID=00&amp;PerMode=PerGame&amp;Scope=S&amp;StatCategory=PTS&amp;section=leaders" TargetMode="External"/><Relationship Id="rId5" Type="http://schemas.openxmlformats.org/officeDocument/2006/relationships/hyperlink" Target="https://www.nba.com/stats/events/?flag=3&amp;CFID=&amp;CFPARAMS=&amp;PlayerID=201142&amp;TeamID=0&amp;GameID=&amp;ContextMeasure=FG3A&amp;Season=2021-22&amp;SeasonType=Regular%20Season&amp;LeagueID=00&amp;PerMode=PerGame&amp;Scope=S&amp;StatCategory=PTS&amp;section=leaders" TargetMode="External"/><Relationship Id="rId181" Type="http://schemas.openxmlformats.org/officeDocument/2006/relationships/hyperlink" Target="https://www.nba.com/player/203078/traditional/" TargetMode="External"/><Relationship Id="rId237" Type="http://schemas.openxmlformats.org/officeDocument/2006/relationships/hyperlink" Target="https://www.nba.com/stats/events/?flag=1&amp;CFID=&amp;CFPARAMS=&amp;PlayerID=1627763&amp;TeamID=0&amp;GameID=&amp;ContextMeasure=AST&amp;Season=2021-22&amp;SeasonType=Regular%20Season&amp;LeagueID=00&amp;PerMode=PerGame&amp;Scope=S&amp;StatCategory=PTS&amp;section=leaders" TargetMode="External"/><Relationship Id="rId279" Type="http://schemas.openxmlformats.org/officeDocument/2006/relationships/hyperlink" Target="https://www.nba.com/stats/events/?flag=3&amp;CFID=&amp;CFPARAMS=&amp;PlayerID=1627832&amp;TeamID=0&amp;GameID=&amp;ContextMeasure=FGA&amp;Season=2021-22&amp;SeasonType=Regular%20Season&amp;LeagueID=00&amp;PerMode=PerGame&amp;Scope=S&amp;StatCategory=PTS&amp;section=leaders" TargetMode="External"/><Relationship Id="rId43" Type="http://schemas.openxmlformats.org/officeDocument/2006/relationships/hyperlink" Target="https://www.nba.com/stats/events/?flag=1&amp;CFID=&amp;CFPARAMS=&amp;PlayerID=1629027&amp;TeamID=0&amp;GameID=&amp;ContextMeasure=DREB&amp;Season=2021-22&amp;SeasonType=Regular%20Season&amp;LeagueID=00&amp;PerMode=PerGame&amp;Scope=S&amp;StatCategory=PTS&amp;section=leaders" TargetMode="External"/><Relationship Id="rId139" Type="http://schemas.openxmlformats.org/officeDocument/2006/relationships/hyperlink" Target="https://www.nba.com/stats/events/?flag=1&amp;CFID=&amp;CFPARAMS=&amp;PlayerID=1626157&amp;TeamID=0&amp;GameID=&amp;ContextMeasure=DREB&amp;Season=2021-22&amp;SeasonType=Regular%20Season&amp;LeagueID=00&amp;PerMode=PerGame&amp;Scope=S&amp;StatCategory=PTS&amp;section=leaders" TargetMode="External"/><Relationship Id="rId290" Type="http://schemas.openxmlformats.org/officeDocument/2006/relationships/hyperlink" Target="https://www.nba.com/stats/events/?flag=3&amp;CFID=&amp;CFPARAMS=&amp;PlayerID=203924&amp;TeamID=0&amp;GameID=&amp;ContextMeasure=FGM&amp;Season=2021-22&amp;SeasonType=Regular%20Season&amp;LeagueID=00&amp;PerMode=PerGame&amp;Scope=S&amp;StatCategory=PTS&amp;section=leaders" TargetMode="External"/><Relationship Id="rId304" Type="http://schemas.openxmlformats.org/officeDocument/2006/relationships/hyperlink" Target="https://www.nba.com/stats/events/?flag=3&amp;CFID=&amp;CFPARAMS=&amp;PlayerID=203944&amp;TeamID=0&amp;GameID=&amp;ContextMeasure=FG3M&amp;Season=2021-22&amp;SeasonType=Regular%20Season&amp;LeagueID=00&amp;PerMode=PerGame&amp;Scope=S&amp;StatCategory=PTS&amp;section=leaders" TargetMode="External"/><Relationship Id="rId346" Type="http://schemas.openxmlformats.org/officeDocument/2006/relationships/hyperlink" Target="https://www.nba.com/stats/events/?flag=1&amp;CFID=&amp;CFPARAMS=&amp;PlayerID=1630178&amp;TeamID=0&amp;GameID=&amp;ContextMeasure=STL&amp;Season=2021-22&amp;SeasonType=Regular%20Season&amp;LeagueID=00&amp;PerMode=PerGame&amp;Scope=S&amp;StatCategory=PTS&amp;section=leaders" TargetMode="External"/><Relationship Id="rId388" Type="http://schemas.openxmlformats.org/officeDocument/2006/relationships/hyperlink" Target="https://www.nba.com/stats/events/?flag=3&amp;CFID=&amp;CFPARAMS=&amp;PlayerID=1629636&amp;TeamID=0&amp;GameID=&amp;ContextMeasure=FGA&amp;Season=2021-22&amp;SeasonType=Regular%20Season&amp;LeagueID=00&amp;PerMode=PerGame&amp;Scope=S&amp;StatCategory=PTS&amp;section=leaders" TargetMode="External"/><Relationship Id="rId85" Type="http://schemas.openxmlformats.org/officeDocument/2006/relationships/hyperlink" Target="https://www.nba.com/player/1629029/traditional/" TargetMode="External"/><Relationship Id="rId150" Type="http://schemas.openxmlformats.org/officeDocument/2006/relationships/hyperlink" Target="https://www.nba.com/stats/events/?flag=1&amp;CFID=&amp;CFPARAMS=&amp;PlayerID=202710&amp;TeamID=0&amp;GameID=&amp;ContextMeasure=OREB&amp;Season=2021-22&amp;SeasonType=Regular%20Season&amp;LeagueID=00&amp;PerMode=PerGame&amp;Scope=S&amp;StatCategory=PTS&amp;section=leaders" TargetMode="External"/><Relationship Id="rId192" Type="http://schemas.openxmlformats.org/officeDocument/2006/relationships/hyperlink" Target="https://www.nba.com/stats/events/?flag=1&amp;CFID=&amp;CFPARAMS=&amp;PlayerID=203078&amp;TeamID=0&amp;GameID=&amp;ContextMeasure=TOV&amp;Season=2021-22&amp;SeasonType=Regular%20Season&amp;LeagueID=00&amp;PerMode=PerGame&amp;Scope=S&amp;StatCategory=PTS&amp;section=leaders" TargetMode="External"/><Relationship Id="rId206" Type="http://schemas.openxmlformats.org/officeDocument/2006/relationships/hyperlink" Target="https://www.nba.com/stats/events/?flag=3&amp;CFID=&amp;CFPARAMS=&amp;PlayerID=203081&amp;TeamID=0&amp;GameID=&amp;ContextMeasure=FGM&amp;Season=2021-22&amp;SeasonType=Regular%20Season&amp;LeagueID=00&amp;PerMode=PerGame&amp;Scope=S&amp;StatCategory=PTS&amp;section=leaders" TargetMode="External"/><Relationship Id="rId248" Type="http://schemas.openxmlformats.org/officeDocument/2006/relationships/hyperlink" Target="https://www.nba.com/stats/events/?flag=1&amp;CFID=&amp;CFPARAMS=&amp;PlayerID=1628368&amp;TeamID=0&amp;GameID=&amp;ContextMeasure=REB&amp;Season=2021-22&amp;SeasonType=Regular%20Season&amp;LeagueID=00&amp;PerMode=PerGame&amp;Scope=S&amp;StatCategory=PTS&amp;section=leaders" TargetMode="External"/><Relationship Id="rId12" Type="http://schemas.openxmlformats.org/officeDocument/2006/relationships/hyperlink" Target="https://www.nba.com/stats/events/?flag=1&amp;CFID=&amp;CFPARAMS=&amp;PlayerID=201142&amp;TeamID=0&amp;GameID=&amp;ContextMeasure=TOV&amp;Season=2021-22&amp;SeasonType=Regular%20Season&amp;LeagueID=00&amp;PerMode=PerGame&amp;Scope=S&amp;StatCategory=PTS&amp;section=leaders" TargetMode="External"/><Relationship Id="rId108" Type="http://schemas.openxmlformats.org/officeDocument/2006/relationships/hyperlink" Target="https://www.nba.com/stats/events/?flag=1&amp;CFID=&amp;CFPARAMS=&amp;PlayerID=1628369&amp;TeamID=0&amp;GameID=&amp;ContextMeasure=TOV&amp;Season=2021-22&amp;SeasonType=Regular%20Season&amp;LeagueID=00&amp;PerMode=PerGame&amp;Scope=S&amp;StatCategory=PTS&amp;section=leaders" TargetMode="External"/><Relationship Id="rId315" Type="http://schemas.openxmlformats.org/officeDocument/2006/relationships/hyperlink" Target="https://www.nba.com/stats/events/?flag=3&amp;CFID=&amp;CFPARAMS=&amp;PlayerID=1627749&amp;TeamID=0&amp;GameID=&amp;ContextMeasure=FGA&amp;Season=2021-22&amp;SeasonType=Regular%20Season&amp;LeagueID=00&amp;PerMode=PerGame&amp;Scope=S&amp;StatCategory=PTS&amp;section=leaders" TargetMode="External"/><Relationship Id="rId357" Type="http://schemas.openxmlformats.org/officeDocument/2006/relationships/hyperlink" Target="https://www.nba.com/stats/events/?flag=1&amp;CFID=&amp;CFPARAMS=&amp;PlayerID=1626174&amp;TeamID=0&amp;GameID=&amp;ContextMeasure=AST&amp;Season=2021-22&amp;SeasonType=Regular%20Season&amp;LeagueID=00&amp;PerMode=PerGame&amp;Scope=S&amp;StatCategory=PTS&amp;section=leaders" TargetMode="External"/><Relationship Id="rId54" Type="http://schemas.openxmlformats.org/officeDocument/2006/relationships/hyperlink" Target="https://www.nba.com/stats/events/?flag=1&amp;CFID=&amp;CFPARAMS=&amp;PlayerID=201942&amp;TeamID=0&amp;GameID=&amp;ContextMeasure=OREB&amp;Season=2021-22&amp;SeasonType=Regular%20Season&amp;LeagueID=00&amp;PerMode=PerGame&amp;Scope=S&amp;StatCategory=PTS&amp;section=leaders" TargetMode="External"/><Relationship Id="rId96" Type="http://schemas.openxmlformats.org/officeDocument/2006/relationships/hyperlink" Target="https://www.nba.com/stats/events/?flag=1&amp;CFID=&amp;CFPARAMS=&amp;PlayerID=1629029&amp;TeamID=0&amp;GameID=&amp;ContextMeasure=TOV&amp;Season=2021-22&amp;SeasonType=Regular%20Season&amp;LeagueID=00&amp;PerMode=PerGame&amp;Scope=S&amp;StatCategory=PTS&amp;section=leaders" TargetMode="External"/><Relationship Id="rId161" Type="http://schemas.openxmlformats.org/officeDocument/2006/relationships/hyperlink" Target="https://www.nba.com/stats/events/?flag=3&amp;CFID=&amp;CFPARAMS=&amp;PlayerID=1626164&amp;TeamID=0&amp;GameID=&amp;ContextMeasure=FG3A&amp;Season=2021-22&amp;SeasonType=Regular%20Season&amp;LeagueID=00&amp;PerMode=PerGame&amp;Scope=S&amp;StatCategory=PTS&amp;section=leaders" TargetMode="External"/><Relationship Id="rId217" Type="http://schemas.openxmlformats.org/officeDocument/2006/relationships/hyperlink" Target="https://www.nba.com/player/1628983/traditional/" TargetMode="External"/><Relationship Id="rId259" Type="http://schemas.openxmlformats.org/officeDocument/2006/relationships/hyperlink" Target="https://www.nba.com/stats/events/?flag=1&amp;CFID=&amp;CFPARAMS=&amp;PlayerID=1630163&amp;TeamID=0&amp;GameID=&amp;ContextMeasure=DREB&amp;Season=2021-22&amp;SeasonType=Regular%20Season&amp;LeagueID=00&amp;PerMode=PerGame&amp;Scope=S&amp;StatCategory=PTS&amp;section=leaders" TargetMode="External"/><Relationship Id="rId23" Type="http://schemas.openxmlformats.org/officeDocument/2006/relationships/hyperlink" Target="https://www.nba.com/stats/events/?flag=1&amp;CFID=&amp;CFPARAMS=&amp;PlayerID=201939&amp;TeamID=0&amp;GameID=&amp;ContextMeasure=BLK&amp;Season=2021-22&amp;SeasonType=Regular%20Season&amp;LeagueID=00&amp;PerMode=PerGame&amp;Scope=S&amp;StatCategory=PTS&amp;section=leaders" TargetMode="External"/><Relationship Id="rId119" Type="http://schemas.openxmlformats.org/officeDocument/2006/relationships/hyperlink" Target="https://www.nba.com/stats/events/?flag=1&amp;CFID=&amp;CFPARAMS=&amp;PlayerID=203076&amp;TeamID=0&amp;GameID=&amp;ContextMeasure=BLK&amp;Season=2021-22&amp;SeasonType=Regular%20Season&amp;LeagueID=00&amp;PerMode=PerGame&amp;Scope=S&amp;StatCategory=PTS&amp;section=leaders" TargetMode="External"/><Relationship Id="rId270" Type="http://schemas.openxmlformats.org/officeDocument/2006/relationships/hyperlink" Target="https://www.nba.com/stats/events/?flag=1&amp;CFID=&amp;CFPARAMS=&amp;PlayerID=1630175&amp;TeamID=0&amp;GameID=&amp;ContextMeasure=OREB&amp;Season=2021-22&amp;SeasonType=Regular%20Season&amp;LeagueID=00&amp;PerMode=PerGame&amp;Scope=S&amp;StatCategory=PTS&amp;section=leaders" TargetMode="External"/><Relationship Id="rId326" Type="http://schemas.openxmlformats.org/officeDocument/2006/relationships/hyperlink" Target="https://www.nba.com/stats/events/?flag=3&amp;CFID=&amp;CFPARAMS=&amp;PlayerID=1629636&amp;TeamID=0&amp;GameID=&amp;ContextMeasure=FGM&amp;Season=2021-22&amp;SeasonType=Regular%20Season&amp;LeagueID=00&amp;PerMode=PerGame&amp;Scope=S&amp;StatCategory=PTS&amp;section=leaders" TargetMode="External"/><Relationship Id="rId65" Type="http://schemas.openxmlformats.org/officeDocument/2006/relationships/hyperlink" Target="https://www.nba.com/stats/events/?flag=3&amp;CFID=&amp;CFPARAMS=&amp;PlayerID=202331&amp;TeamID=0&amp;GameID=&amp;ContextMeasure=FG3A&amp;Season=2021-22&amp;SeasonType=Regular%20Season&amp;LeagueID=00&amp;PerMode=PerGame&amp;Scope=S&amp;StatCategory=PTS&amp;section=leaders" TargetMode="External"/><Relationship Id="rId130" Type="http://schemas.openxmlformats.org/officeDocument/2006/relationships/hyperlink" Target="https://www.nba.com/stats/events/?flag=1&amp;CFID=&amp;CFPARAMS=&amp;PlayerID=1629630&amp;TeamID=0&amp;GameID=&amp;ContextMeasure=STL&amp;Season=2021-22&amp;SeasonType=Regular%20Season&amp;LeagueID=00&amp;PerMode=PerGame&amp;Scope=S&amp;StatCategory=PTS&amp;section=leaders" TargetMode="External"/><Relationship Id="rId368" Type="http://schemas.openxmlformats.org/officeDocument/2006/relationships/hyperlink" Target="https://www.nba.com/stats/events/?flag=3&amp;CFID=&amp;CFPARAMS=&amp;PlayerID=1629029&amp;TeamID=0&amp;GameID=&amp;ContextMeasure=FGA&amp;Season=2021-22&amp;SeasonType=Regular%20Season&amp;LeagueID=00&amp;PerMode=PerGame&amp;Scope=S&amp;StatCategory=PTS&amp;section=leaders" TargetMode="External"/><Relationship Id="rId172" Type="http://schemas.openxmlformats.org/officeDocument/2006/relationships/hyperlink" Target="https://www.nba.com/stats/events/?flag=3&amp;CFID=&amp;CFPARAMS=&amp;PlayerID=1628378&amp;TeamID=0&amp;GameID=&amp;ContextMeasure=FG3M&amp;Season=2021-22&amp;SeasonType=Regular%20Season&amp;LeagueID=00&amp;PerMode=PerGame&amp;Scope=S&amp;StatCategory=PTS&amp;section=leaders" TargetMode="External"/><Relationship Id="rId228" Type="http://schemas.openxmlformats.org/officeDocument/2006/relationships/hyperlink" Target="https://www.nba.com/stats/events/?flag=1&amp;CFID=&amp;CFPARAMS=&amp;PlayerID=1628983&amp;TeamID=0&amp;GameID=&amp;ContextMeasure=TOV&amp;Season=2021-22&amp;SeasonType=Regular%20Season&amp;LeagueID=00&amp;PerMode=PerGame&amp;Scope=S&amp;StatCategory=PTS&amp;section=leaders" TargetMode="External"/><Relationship Id="rId281" Type="http://schemas.openxmlformats.org/officeDocument/2006/relationships/hyperlink" Target="https://www.nba.com/stats/events/?flag=3&amp;CFID=&amp;CFPARAMS=&amp;PlayerID=1627832&amp;TeamID=0&amp;GameID=&amp;ContextMeasure=FG3A&amp;Season=2021-22&amp;SeasonType=Regular%20Season&amp;LeagueID=00&amp;PerMode=PerGame&amp;Scope=S&amp;StatCategory=PTS&amp;section=leaders" TargetMode="External"/><Relationship Id="rId337" Type="http://schemas.openxmlformats.org/officeDocument/2006/relationships/hyperlink" Target="https://www.nba.com/player/1630178/traditional/" TargetMode="External"/><Relationship Id="rId34" Type="http://schemas.openxmlformats.org/officeDocument/2006/relationships/hyperlink" Target="https://www.nba.com/stats/events/?flag=1&amp;CFID=&amp;CFPARAMS=&amp;PlayerID=203507&amp;TeamID=0&amp;GameID=&amp;ContextMeasure=STL&amp;Season=2021-22&amp;SeasonType=Regular%20Season&amp;LeagueID=00&amp;PerMode=PerGame&amp;Scope=S&amp;StatCategory=PTS&amp;section=leaders" TargetMode="External"/><Relationship Id="rId76" Type="http://schemas.openxmlformats.org/officeDocument/2006/relationships/hyperlink" Target="https://www.nba.com/stats/events/?flag=3&amp;CFID=&amp;CFPARAMS=&amp;PlayerID=203999&amp;TeamID=0&amp;GameID=&amp;ContextMeasure=FG3M&amp;Season=2021-22&amp;SeasonType=Regular%20Season&amp;LeagueID=00&amp;PerMode=PerGame&amp;Scope=S&amp;StatCategory=PTS&amp;section=leaders" TargetMode="External"/><Relationship Id="rId141" Type="http://schemas.openxmlformats.org/officeDocument/2006/relationships/hyperlink" Target="https://www.nba.com/stats/events/?flag=1&amp;CFID=&amp;CFPARAMS=&amp;PlayerID=1626157&amp;TeamID=0&amp;GameID=&amp;ContextMeasure=AST&amp;Season=2021-22&amp;SeasonType=Regular%20Season&amp;LeagueID=00&amp;PerMode=PerGame&amp;Scope=S&amp;StatCategory=PTS&amp;section=leaders" TargetMode="External"/><Relationship Id="rId379" Type="http://schemas.openxmlformats.org/officeDocument/2006/relationships/hyperlink" Target="https://www.nba.com/stats/events/?flag=3&amp;CFID=&amp;CFPARAMS=&amp;PlayerID=1628983&amp;TeamID=0&amp;GameID=&amp;ContextMeasure=FGA&amp;Season=2021-22&amp;SeasonType=Regular%20Season&amp;LeagueID=00&amp;PerMode=PerGame&amp;Scope=S&amp;StatCategory=PTS&amp;section=leaders" TargetMode="External"/><Relationship Id="rId7" Type="http://schemas.openxmlformats.org/officeDocument/2006/relationships/hyperlink" Target="https://www.nba.com/stats/events/?flag=1&amp;CFID=&amp;CFPARAMS=&amp;PlayerID=201142&amp;TeamID=0&amp;GameID=&amp;ContextMeasure=DREB&amp;Season=2021-22&amp;SeasonType=Regular%20Season&amp;LeagueID=00&amp;PerMode=PerGame&amp;Scope=S&amp;StatCategory=PTS&amp;section=leaders" TargetMode="External"/><Relationship Id="rId183" Type="http://schemas.openxmlformats.org/officeDocument/2006/relationships/hyperlink" Target="https://www.nba.com/stats/events/?flag=3&amp;CFID=&amp;CFPARAMS=&amp;PlayerID=203078&amp;TeamID=0&amp;GameID=&amp;ContextMeasure=FGA&amp;Season=2021-22&amp;SeasonType=Regular%20Season&amp;LeagueID=00&amp;PerMode=PerGame&amp;Scope=S&amp;StatCategory=PTS&amp;section=leaders" TargetMode="External"/><Relationship Id="rId239" Type="http://schemas.openxmlformats.org/officeDocument/2006/relationships/hyperlink" Target="https://www.nba.com/stats/events/?flag=1&amp;CFID=&amp;CFPARAMS=&amp;PlayerID=1627763&amp;TeamID=0&amp;GameID=&amp;ContextMeasure=BLK&amp;Season=2021-22&amp;SeasonType=Regular%20Season&amp;LeagueID=00&amp;PerMode=PerGame&amp;Scope=S&amp;StatCategory=PTS&amp;section=leaders" TargetMode="External"/><Relationship Id="rId390" Type="http://schemas.openxmlformats.org/officeDocument/2006/relationships/hyperlink" Target="https://www.nba.com/stats/events/?flag=3&amp;CFID=&amp;CFPARAMS=&amp;PlayerID=1626174&amp;TeamID=0&amp;GameID=&amp;ContextMeasure=FGA&amp;Season=2021-22&amp;SeasonType=Regular%20Season&amp;LeagueID=00&amp;PerMode=PerGame&amp;Scope=S&amp;StatCategory=PTS&amp;section=leaders" TargetMode="External"/><Relationship Id="rId250" Type="http://schemas.openxmlformats.org/officeDocument/2006/relationships/hyperlink" Target="https://www.nba.com/stats/events/?flag=1&amp;CFID=&amp;CFPARAMS=&amp;PlayerID=1628368&amp;TeamID=0&amp;GameID=&amp;ContextMeasure=STL&amp;Season=2021-22&amp;SeasonType=Regular%20Season&amp;LeagueID=00&amp;PerMode=PerGame&amp;Scope=S&amp;StatCategory=PTS&amp;section=leaders" TargetMode="External"/><Relationship Id="rId292" Type="http://schemas.openxmlformats.org/officeDocument/2006/relationships/hyperlink" Target="https://www.nba.com/stats/events/?flag=3&amp;CFID=&amp;CFPARAMS=&amp;PlayerID=203924&amp;TeamID=0&amp;GameID=&amp;ContextMeasure=FG3M&amp;Season=2021-22&amp;SeasonType=Regular%20Season&amp;LeagueID=00&amp;PerMode=PerGame&amp;Scope=S&amp;StatCategory=PTS&amp;section=leaders" TargetMode="External"/><Relationship Id="rId306" Type="http://schemas.openxmlformats.org/officeDocument/2006/relationships/hyperlink" Target="https://www.nba.com/stats/events/?flag=1&amp;CFID=&amp;CFPARAMS=&amp;PlayerID=203944&amp;TeamID=0&amp;GameID=&amp;ContextMeasure=OREB&amp;Season=2021-22&amp;SeasonType=Regular%20Season&amp;LeagueID=00&amp;PerMode=PerGame&amp;Scope=S&amp;StatCategory=PTS&amp;section=leaders" TargetMode="External"/><Relationship Id="rId45" Type="http://schemas.openxmlformats.org/officeDocument/2006/relationships/hyperlink" Target="https://www.nba.com/stats/events/?flag=1&amp;CFID=&amp;CFPARAMS=&amp;PlayerID=1629027&amp;TeamID=0&amp;GameID=&amp;ContextMeasure=AST&amp;Season=2021-22&amp;SeasonType=Regular%20Season&amp;LeagueID=00&amp;PerMode=PerGame&amp;Scope=S&amp;StatCategory=PTS&amp;section=leaders" TargetMode="External"/><Relationship Id="rId87" Type="http://schemas.openxmlformats.org/officeDocument/2006/relationships/hyperlink" Target="https://www.nba.com/stats/events/?flag=3&amp;CFID=&amp;CFPARAMS=&amp;PlayerID=1629029&amp;TeamID=0&amp;GameID=&amp;ContextMeasure=FGA&amp;Season=2021-22&amp;SeasonType=Regular%20Season&amp;LeagueID=00&amp;PerMode=PerGame&amp;Scope=S&amp;StatCategory=PTS&amp;section=leaders" TargetMode="External"/><Relationship Id="rId110" Type="http://schemas.openxmlformats.org/officeDocument/2006/relationships/hyperlink" Target="https://www.nba.com/stats/events/?flag=3&amp;CFID=&amp;CFPARAMS=&amp;PlayerID=203076&amp;TeamID=0&amp;GameID=&amp;ContextMeasure=FGM&amp;Season=2021-22&amp;SeasonType=Regular%20Season&amp;LeagueID=00&amp;PerMode=PerGame&amp;Scope=S&amp;StatCategory=PTS&amp;section=leaders" TargetMode="External"/><Relationship Id="rId348" Type="http://schemas.openxmlformats.org/officeDocument/2006/relationships/hyperlink" Target="https://www.nba.com/stats/events/?flag=1&amp;CFID=&amp;CFPARAMS=&amp;PlayerID=1630178&amp;TeamID=0&amp;GameID=&amp;ContextMeasure=TOV&amp;Season=2021-22&amp;SeasonType=Regular%20Season&amp;LeagueID=00&amp;PerMode=PerGame&amp;Scope=S&amp;StatCategory=PTS&amp;section=leaders" TargetMode="External"/><Relationship Id="rId152" Type="http://schemas.openxmlformats.org/officeDocument/2006/relationships/hyperlink" Target="https://www.nba.com/stats/events/?flag=1&amp;CFID=&amp;CFPARAMS=&amp;PlayerID=202710&amp;TeamID=0&amp;GameID=&amp;ContextMeasure=REB&amp;Season=2021-22&amp;SeasonType=Regular%20Season&amp;LeagueID=00&amp;PerMode=PerGame&amp;Scope=S&amp;StatCategory=PTS&amp;section=leaders" TargetMode="External"/><Relationship Id="rId194" Type="http://schemas.openxmlformats.org/officeDocument/2006/relationships/hyperlink" Target="https://www.nba.com/stats/events/?flag=3&amp;CFID=&amp;CFPARAMS=&amp;PlayerID=1627742&amp;TeamID=0&amp;GameID=&amp;ContextMeasure=FGM&amp;Season=2021-22&amp;SeasonType=Regular%20Season&amp;LeagueID=00&amp;PerMode=PerGame&amp;Scope=S&amp;StatCategory=PTS&amp;section=leaders" TargetMode="External"/><Relationship Id="rId208" Type="http://schemas.openxmlformats.org/officeDocument/2006/relationships/hyperlink" Target="https://www.nba.com/stats/events/?flag=3&amp;CFID=&amp;CFPARAMS=&amp;PlayerID=203081&amp;TeamID=0&amp;GameID=&amp;ContextMeasure=FG3M&amp;Season=2021-22&amp;SeasonType=Regular%20Season&amp;LeagueID=00&amp;PerMode=PerGame&amp;Scope=S&amp;StatCategory=PTS&amp;section=leaders" TargetMode="External"/><Relationship Id="rId261" Type="http://schemas.openxmlformats.org/officeDocument/2006/relationships/hyperlink" Target="https://www.nba.com/stats/events/?flag=1&amp;CFID=&amp;CFPARAMS=&amp;PlayerID=1630163&amp;TeamID=0&amp;GameID=&amp;ContextMeasure=AST&amp;Season=2021-22&amp;SeasonType=Regular%20Season&amp;LeagueID=00&amp;PerMode=PerGame&amp;Scope=S&amp;StatCategory=PTS&amp;section=leaders" TargetMode="External"/><Relationship Id="rId14" Type="http://schemas.openxmlformats.org/officeDocument/2006/relationships/hyperlink" Target="https://www.nba.com/stats/events/?flag=3&amp;CFID=&amp;CFPARAMS=&amp;PlayerID=201939&amp;TeamID=0&amp;GameID=&amp;ContextMeasure=FGM&amp;Season=2021-22&amp;SeasonType=Regular%20Season&amp;LeagueID=00&amp;PerMode=PerGame&amp;Scope=S&amp;StatCategory=PTS&amp;section=leaders" TargetMode="External"/><Relationship Id="rId56" Type="http://schemas.openxmlformats.org/officeDocument/2006/relationships/hyperlink" Target="https://www.nba.com/stats/events/?flag=1&amp;CFID=&amp;CFPARAMS=&amp;PlayerID=201942&amp;TeamID=0&amp;GameID=&amp;ContextMeasure=REB&amp;Season=2021-22&amp;SeasonType=Regular%20Season&amp;LeagueID=00&amp;PerMode=PerGame&amp;Scope=S&amp;StatCategory=PTS&amp;section=leaders" TargetMode="External"/><Relationship Id="rId317" Type="http://schemas.openxmlformats.org/officeDocument/2006/relationships/hyperlink" Target="https://www.nba.com/stats/events/?flag=3&amp;CFID=&amp;CFPARAMS=&amp;PlayerID=1627749&amp;TeamID=0&amp;GameID=&amp;ContextMeasure=FG3A&amp;Season=2021-22&amp;SeasonType=Regular%20Season&amp;LeagueID=00&amp;PerMode=PerGame&amp;Scope=S&amp;StatCategory=PTS&amp;section=leaders" TargetMode="External"/><Relationship Id="rId359" Type="http://schemas.openxmlformats.org/officeDocument/2006/relationships/hyperlink" Target="https://www.nba.com/stats/events/?flag=1&amp;CFID=&amp;CFPARAMS=&amp;PlayerID=1626174&amp;TeamID=0&amp;GameID=&amp;ContextMeasure=BLK&amp;Season=2021-22&amp;SeasonType=Regular%20Season&amp;LeagueID=00&amp;PerMode=PerGame&amp;Scope=S&amp;StatCategory=PTS&amp;section=leaders" TargetMode="External"/><Relationship Id="rId98" Type="http://schemas.openxmlformats.org/officeDocument/2006/relationships/hyperlink" Target="https://www.nba.com/stats/events/?flag=3&amp;CFID=&amp;CFPARAMS=&amp;PlayerID=1628369&amp;TeamID=0&amp;GameID=&amp;ContextMeasure=FGM&amp;Season=2021-22&amp;SeasonType=Regular%20Season&amp;LeagueID=00&amp;PerMode=PerGame&amp;Scope=S&amp;StatCategory=PTS&amp;section=leaders" TargetMode="External"/><Relationship Id="rId121" Type="http://schemas.openxmlformats.org/officeDocument/2006/relationships/hyperlink" Target="https://www.nba.com/player/1629630/traditional/" TargetMode="External"/><Relationship Id="rId163" Type="http://schemas.openxmlformats.org/officeDocument/2006/relationships/hyperlink" Target="https://www.nba.com/stats/events/?flag=1&amp;CFID=&amp;CFPARAMS=&amp;PlayerID=1626164&amp;TeamID=0&amp;GameID=&amp;ContextMeasure=DREB&amp;Season=2021-22&amp;SeasonType=Regular%20Season&amp;LeagueID=00&amp;PerMode=PerGame&amp;Scope=S&amp;StatCategory=PTS&amp;section=leaders" TargetMode="External"/><Relationship Id="rId219" Type="http://schemas.openxmlformats.org/officeDocument/2006/relationships/hyperlink" Target="https://www.nba.com/stats/events/?flag=3&amp;CFID=&amp;CFPARAMS=&amp;PlayerID=1628983&amp;TeamID=0&amp;GameID=&amp;ContextMeasure=FGA&amp;Season=2021-22&amp;SeasonType=Regular%20Season&amp;LeagueID=00&amp;PerMode=PerGame&amp;Scope=S&amp;StatCategory=PTS&amp;section=leaders" TargetMode="External"/><Relationship Id="rId370" Type="http://schemas.openxmlformats.org/officeDocument/2006/relationships/hyperlink" Target="https://www.nba.com/stats/events/?flag=3&amp;CFID=&amp;CFPARAMS=&amp;PlayerID=203076&amp;TeamID=0&amp;GameID=&amp;ContextMeasure=FGA&amp;Season=2021-22&amp;SeasonType=Regular%20Season&amp;LeagueID=00&amp;PerMode=PerGame&amp;Scope=S&amp;StatCategory=PTS&amp;section=leaders" TargetMode="External"/><Relationship Id="rId230" Type="http://schemas.openxmlformats.org/officeDocument/2006/relationships/hyperlink" Target="https://www.nba.com/stats/events/?flag=3&amp;CFID=&amp;CFPARAMS=&amp;PlayerID=1627763&amp;TeamID=0&amp;GameID=&amp;ContextMeasure=FGM&amp;Season=2021-22&amp;SeasonType=Regular%20Season&amp;LeagueID=00&amp;PerMode=PerGame&amp;Scope=S&amp;StatCategory=PTS&amp;section=leaders" TargetMode="External"/><Relationship Id="rId25" Type="http://schemas.openxmlformats.org/officeDocument/2006/relationships/hyperlink" Target="https://www.nba.com/player/203507/traditional/" TargetMode="External"/><Relationship Id="rId67" Type="http://schemas.openxmlformats.org/officeDocument/2006/relationships/hyperlink" Target="https://www.nba.com/stats/events/?flag=1&amp;CFID=&amp;CFPARAMS=&amp;PlayerID=202331&amp;TeamID=0&amp;GameID=&amp;ContextMeasure=DREB&amp;Season=2021-22&amp;SeasonType=Regular%20Season&amp;LeagueID=00&amp;PerMode=PerGame&amp;Scope=S&amp;StatCategory=PTS&amp;section=leaders" TargetMode="External"/><Relationship Id="rId272" Type="http://schemas.openxmlformats.org/officeDocument/2006/relationships/hyperlink" Target="https://www.nba.com/stats/events/?flag=1&amp;CFID=&amp;CFPARAMS=&amp;PlayerID=1630175&amp;TeamID=0&amp;GameID=&amp;ContextMeasure=REB&amp;Season=2021-22&amp;SeasonType=Regular%20Season&amp;LeagueID=00&amp;PerMode=PerGame&amp;Scope=S&amp;StatCategory=PTS&amp;section=leaders" TargetMode="External"/><Relationship Id="rId328" Type="http://schemas.openxmlformats.org/officeDocument/2006/relationships/hyperlink" Target="https://www.nba.com/stats/events/?flag=3&amp;CFID=&amp;CFPARAMS=&amp;PlayerID=1629636&amp;TeamID=0&amp;GameID=&amp;ContextMeasure=FG3M&amp;Season=2021-22&amp;SeasonType=Regular%20Season&amp;LeagueID=00&amp;PerMode=PerGame&amp;Scope=S&amp;StatCategory=PTS&amp;section=leaders" TargetMode="External"/><Relationship Id="rId132" Type="http://schemas.openxmlformats.org/officeDocument/2006/relationships/hyperlink" Target="https://www.nba.com/stats/events/?flag=1&amp;CFID=&amp;CFPARAMS=&amp;PlayerID=1629630&amp;TeamID=0&amp;GameID=&amp;ContextMeasure=TOV&amp;Season=2021-22&amp;SeasonType=Regular%20Season&amp;LeagueID=00&amp;PerMode=PerGame&amp;Scope=S&amp;StatCategory=PTS&amp;section=leaders" TargetMode="External"/><Relationship Id="rId174" Type="http://schemas.openxmlformats.org/officeDocument/2006/relationships/hyperlink" Target="https://www.nba.com/stats/events/?flag=1&amp;CFID=&amp;CFPARAMS=&amp;PlayerID=1628378&amp;TeamID=0&amp;GameID=&amp;ContextMeasure=OREB&amp;Season=2021-22&amp;SeasonType=Regular%20Season&amp;LeagueID=00&amp;PerMode=PerGame&amp;Scope=S&amp;StatCategory=PTS&amp;section=leaders" TargetMode="External"/><Relationship Id="rId381" Type="http://schemas.openxmlformats.org/officeDocument/2006/relationships/hyperlink" Target="https://www.nba.com/stats/events/?flag=3&amp;CFID=&amp;CFPARAMS=&amp;PlayerID=1628368&amp;TeamID=0&amp;GameID=&amp;ContextMeasure=FGA&amp;Season=2021-22&amp;SeasonType=Regular%20Season&amp;LeagueID=00&amp;PerMode=PerGame&amp;Scope=S&amp;StatCategory=PTS&amp;section=leaders" TargetMode="External"/><Relationship Id="rId241" Type="http://schemas.openxmlformats.org/officeDocument/2006/relationships/hyperlink" Target="https://www.nba.com/player/1628368/traditional/" TargetMode="External"/><Relationship Id="rId36" Type="http://schemas.openxmlformats.org/officeDocument/2006/relationships/hyperlink" Target="https://www.nba.com/stats/events/?flag=1&amp;CFID=&amp;CFPARAMS=&amp;PlayerID=203507&amp;TeamID=0&amp;GameID=&amp;ContextMeasure=TOV&amp;Season=2021-22&amp;SeasonType=Regular%20Season&amp;LeagueID=00&amp;PerMode=PerGame&amp;Scope=S&amp;StatCategory=PTS&amp;section=leaders" TargetMode="External"/><Relationship Id="rId283" Type="http://schemas.openxmlformats.org/officeDocument/2006/relationships/hyperlink" Target="https://www.nba.com/stats/events/?flag=1&amp;CFID=&amp;CFPARAMS=&amp;PlayerID=1627832&amp;TeamID=0&amp;GameID=&amp;ContextMeasure=DREB&amp;Season=2021-22&amp;SeasonType=Regular%20Season&amp;LeagueID=00&amp;PerMode=PerGame&amp;Scope=S&amp;StatCategory=PTS&amp;section=leaders" TargetMode="External"/><Relationship Id="rId339" Type="http://schemas.openxmlformats.org/officeDocument/2006/relationships/hyperlink" Target="https://www.nba.com/stats/events/?flag=3&amp;CFID=&amp;CFPARAMS=&amp;PlayerID=1630178&amp;TeamID=0&amp;GameID=&amp;ContextMeasure=FGA&amp;Season=2021-22&amp;SeasonType=Regular%20Season&amp;LeagueID=00&amp;PerMode=PerGame&amp;Scope=S&amp;StatCategory=PTS&amp;section=leaders" TargetMode="External"/><Relationship Id="rId78" Type="http://schemas.openxmlformats.org/officeDocument/2006/relationships/hyperlink" Target="https://www.nba.com/stats/events/?flag=1&amp;CFID=&amp;CFPARAMS=&amp;PlayerID=203999&amp;TeamID=0&amp;GameID=&amp;ContextMeasure=OREB&amp;Season=2021-22&amp;SeasonType=Regular%20Season&amp;LeagueID=00&amp;PerMode=PerGame&amp;Scope=S&amp;StatCategory=PTS&amp;section=leaders" TargetMode="External"/><Relationship Id="rId101" Type="http://schemas.openxmlformats.org/officeDocument/2006/relationships/hyperlink" Target="https://www.nba.com/stats/events/?flag=3&amp;CFID=&amp;CFPARAMS=&amp;PlayerID=1628369&amp;TeamID=0&amp;GameID=&amp;ContextMeasure=FG3A&amp;Season=2021-22&amp;SeasonType=Regular%20Season&amp;LeagueID=00&amp;PerMode=PerGame&amp;Scope=S&amp;StatCategory=PTS&amp;section=leaders" TargetMode="External"/><Relationship Id="rId143" Type="http://schemas.openxmlformats.org/officeDocument/2006/relationships/hyperlink" Target="https://www.nba.com/stats/events/?flag=1&amp;CFID=&amp;CFPARAMS=&amp;PlayerID=1626157&amp;TeamID=0&amp;GameID=&amp;ContextMeasure=BLK&amp;Season=2021-22&amp;SeasonType=Regular%20Season&amp;LeagueID=00&amp;PerMode=PerGame&amp;Scope=S&amp;StatCategory=PTS&amp;section=leaders" TargetMode="External"/><Relationship Id="rId185" Type="http://schemas.openxmlformats.org/officeDocument/2006/relationships/hyperlink" Target="https://www.nba.com/stats/events/?flag=3&amp;CFID=&amp;CFPARAMS=&amp;PlayerID=203078&amp;TeamID=0&amp;GameID=&amp;ContextMeasure=FG3A&amp;Season=2021-22&amp;SeasonType=Regular%20Season&amp;LeagueID=00&amp;PerMode=PerGame&amp;Scope=S&amp;StatCategory=PTS&amp;section=leaders" TargetMode="External"/><Relationship Id="rId350" Type="http://schemas.openxmlformats.org/officeDocument/2006/relationships/hyperlink" Target="https://www.nba.com/stats/events/?flag=3&amp;CFID=&amp;CFPARAMS=&amp;PlayerID=1626174&amp;TeamID=0&amp;GameID=&amp;ContextMeasure=FGM&amp;Season=2021-22&amp;SeasonType=Regular%20Season&amp;LeagueID=00&amp;PerMode=PerGame&amp;Scope=S&amp;StatCategory=PTS&amp;section=leaders" TargetMode="External"/><Relationship Id="rId9" Type="http://schemas.openxmlformats.org/officeDocument/2006/relationships/hyperlink" Target="https://www.nba.com/stats/events/?flag=1&amp;CFID=&amp;CFPARAMS=&amp;PlayerID=201142&amp;TeamID=0&amp;GameID=&amp;ContextMeasure=AST&amp;Season=2021-22&amp;SeasonType=Regular%20Season&amp;LeagueID=00&amp;PerMode=PerGame&amp;Scope=S&amp;StatCategory=PTS&amp;section=leaders" TargetMode="External"/><Relationship Id="rId210" Type="http://schemas.openxmlformats.org/officeDocument/2006/relationships/hyperlink" Target="https://www.nba.com/stats/events/?flag=1&amp;CFID=&amp;CFPARAMS=&amp;PlayerID=203081&amp;TeamID=0&amp;GameID=&amp;ContextMeasure=OREB&amp;Season=2021-22&amp;SeasonType=Regular%20Season&amp;LeagueID=00&amp;PerMode=PerGame&amp;Scope=S&amp;StatCategory=PTS&amp;section=leaders" TargetMode="External"/><Relationship Id="rId392" Type="http://schemas.openxmlformats.org/officeDocument/2006/relationships/hyperlink" Target="https://www.nba.com/stats/events/?flag=3&amp;CFID=&amp;CFPARAMS=&amp;PlayerID=201142&amp;TeamID=0&amp;GameID=&amp;ContextMeasure=FG3M&amp;Season=2021-22&amp;SeasonType=Regular%20Season&amp;LeagueID=00&amp;PerMode=PerGame&amp;Scope=S&amp;StatCategory=PTS&amp;section=leaders" TargetMode="External"/><Relationship Id="rId252" Type="http://schemas.openxmlformats.org/officeDocument/2006/relationships/hyperlink" Target="https://www.nba.com/stats/events/?flag=1&amp;CFID=&amp;CFPARAMS=&amp;PlayerID=1628368&amp;TeamID=0&amp;GameID=&amp;ContextMeasure=TOV&amp;Season=2021-22&amp;SeasonType=Regular%20Season&amp;LeagueID=00&amp;PerMode=PerGame&amp;Scope=S&amp;StatCategory=PTS&amp;section=leaders" TargetMode="External"/><Relationship Id="rId294" Type="http://schemas.openxmlformats.org/officeDocument/2006/relationships/hyperlink" Target="https://www.nba.com/stats/events/?flag=1&amp;CFID=&amp;CFPARAMS=&amp;PlayerID=203924&amp;TeamID=0&amp;GameID=&amp;ContextMeasure=OREB&amp;Season=2021-22&amp;SeasonType=Regular%20Season&amp;LeagueID=00&amp;PerMode=PerGame&amp;Scope=S&amp;StatCategory=PTS&amp;section=leaders" TargetMode="External"/><Relationship Id="rId308" Type="http://schemas.openxmlformats.org/officeDocument/2006/relationships/hyperlink" Target="https://www.nba.com/stats/events/?flag=1&amp;CFID=&amp;CFPARAMS=&amp;PlayerID=203944&amp;TeamID=0&amp;GameID=&amp;ContextMeasure=REB&amp;Season=2021-22&amp;SeasonType=Regular%20Season&amp;LeagueID=00&amp;PerMode=PerGame&amp;Scope=S&amp;StatCategory=PTS&amp;section=leaders" TargetMode="External"/><Relationship Id="rId47" Type="http://schemas.openxmlformats.org/officeDocument/2006/relationships/hyperlink" Target="https://www.nba.com/stats/events/?flag=1&amp;CFID=&amp;CFPARAMS=&amp;PlayerID=1629027&amp;TeamID=0&amp;GameID=&amp;ContextMeasure=BLK&amp;Season=2021-22&amp;SeasonType=Regular%20Season&amp;LeagueID=00&amp;PerMode=PerGame&amp;Scope=S&amp;StatCategory=PTS&amp;section=leaders" TargetMode="External"/><Relationship Id="rId89" Type="http://schemas.openxmlformats.org/officeDocument/2006/relationships/hyperlink" Target="https://www.nba.com/stats/events/?flag=3&amp;CFID=&amp;CFPARAMS=&amp;PlayerID=1629029&amp;TeamID=0&amp;GameID=&amp;ContextMeasure=FG3A&amp;Season=2021-22&amp;SeasonType=Regular%20Season&amp;LeagueID=00&amp;PerMode=PerGame&amp;Scope=S&amp;StatCategory=PTS&amp;section=leaders" TargetMode="External"/><Relationship Id="rId112" Type="http://schemas.openxmlformats.org/officeDocument/2006/relationships/hyperlink" Target="https://www.nba.com/stats/events/?flag=3&amp;CFID=&amp;CFPARAMS=&amp;PlayerID=203076&amp;TeamID=0&amp;GameID=&amp;ContextMeasure=FG3M&amp;Season=2021-22&amp;SeasonType=Regular%20Season&amp;LeagueID=00&amp;PerMode=PerGame&amp;Scope=S&amp;StatCategory=PTS&amp;section=leaders" TargetMode="External"/><Relationship Id="rId154" Type="http://schemas.openxmlformats.org/officeDocument/2006/relationships/hyperlink" Target="https://www.nba.com/stats/events/?flag=1&amp;CFID=&amp;CFPARAMS=&amp;PlayerID=202710&amp;TeamID=0&amp;GameID=&amp;ContextMeasure=STL&amp;Season=2021-22&amp;SeasonType=Regular%20Season&amp;LeagueID=00&amp;PerMode=PerGame&amp;Scope=S&amp;StatCategory=PTS&amp;section=leaders" TargetMode="External"/><Relationship Id="rId361" Type="http://schemas.openxmlformats.org/officeDocument/2006/relationships/hyperlink" Target="https://www.nba.com/stats/events/?flag=3&amp;CFID=&amp;CFPARAMS=&amp;PlayerID=201142&amp;TeamID=0&amp;GameID=&amp;ContextMeasure=FGA&amp;Season=2021-22&amp;SeasonType=Regular%20Season&amp;LeagueID=00&amp;PerMode=PerGame&amp;Scope=S&amp;StatCategory=PTS&amp;section=leaders" TargetMode="External"/><Relationship Id="rId196" Type="http://schemas.openxmlformats.org/officeDocument/2006/relationships/hyperlink" Target="https://www.nba.com/stats/events/?flag=3&amp;CFID=&amp;CFPARAMS=&amp;PlayerID=1627742&amp;TeamID=0&amp;GameID=&amp;ContextMeasure=FG3M&amp;Season=2021-22&amp;SeasonType=Regular%20Season&amp;LeagueID=00&amp;PerMode=PerGame&amp;Scope=S&amp;StatCategory=PTS&amp;section=leaders" TargetMode="External"/><Relationship Id="rId200" Type="http://schemas.openxmlformats.org/officeDocument/2006/relationships/hyperlink" Target="https://www.nba.com/stats/events/?flag=1&amp;CFID=&amp;CFPARAMS=&amp;PlayerID=1627742&amp;TeamID=0&amp;GameID=&amp;ContextMeasure=REB&amp;Season=2021-22&amp;SeasonType=Regular%20Season&amp;LeagueID=00&amp;PerMode=PerGame&amp;Scope=S&amp;StatCategory=PTS&amp;section=leaders" TargetMode="External"/><Relationship Id="rId382" Type="http://schemas.openxmlformats.org/officeDocument/2006/relationships/hyperlink" Target="https://www.nba.com/stats/events/?flag=3&amp;CFID=&amp;CFPARAMS=&amp;PlayerID=1630163&amp;TeamID=0&amp;GameID=&amp;ContextMeasure=FGA&amp;Season=2021-22&amp;SeasonType=Regular%20Season&amp;LeagueID=00&amp;PerMode=PerGame&amp;Scope=S&amp;StatCategory=PTS&amp;section=leaders" TargetMode="External"/><Relationship Id="rId16" Type="http://schemas.openxmlformats.org/officeDocument/2006/relationships/hyperlink" Target="https://www.nba.com/stats/events/?flag=3&amp;CFID=&amp;CFPARAMS=&amp;PlayerID=201939&amp;TeamID=0&amp;GameID=&amp;ContextMeasure=FG3M&amp;Season=2021-22&amp;SeasonType=Regular%20Season&amp;LeagueID=00&amp;PerMode=PerGame&amp;Scope=S&amp;StatCategory=PTS&amp;section=leaders" TargetMode="External"/><Relationship Id="rId221" Type="http://schemas.openxmlformats.org/officeDocument/2006/relationships/hyperlink" Target="https://www.nba.com/stats/events/?flag=3&amp;CFID=&amp;CFPARAMS=&amp;PlayerID=1628983&amp;TeamID=0&amp;GameID=&amp;ContextMeasure=FG3A&amp;Season=2021-22&amp;SeasonType=Regular%20Season&amp;LeagueID=00&amp;PerMode=PerGame&amp;Scope=S&amp;StatCategory=PTS&amp;section=leaders" TargetMode="External"/><Relationship Id="rId242" Type="http://schemas.openxmlformats.org/officeDocument/2006/relationships/hyperlink" Target="https://www.nba.com/stats/events/?flag=3&amp;CFID=&amp;CFPARAMS=&amp;PlayerID=1628368&amp;TeamID=0&amp;GameID=&amp;ContextMeasure=FGM&amp;Season=2021-22&amp;SeasonType=Regular%20Season&amp;LeagueID=00&amp;PerMode=PerGame&amp;Scope=S&amp;StatCategory=PTS&amp;section=leaders" TargetMode="External"/><Relationship Id="rId263" Type="http://schemas.openxmlformats.org/officeDocument/2006/relationships/hyperlink" Target="https://www.nba.com/stats/events/?flag=1&amp;CFID=&amp;CFPARAMS=&amp;PlayerID=1630163&amp;TeamID=0&amp;GameID=&amp;ContextMeasure=BLK&amp;Season=2021-22&amp;SeasonType=Regular%20Season&amp;LeagueID=00&amp;PerMode=PerGame&amp;Scope=S&amp;StatCategory=PTS&amp;section=leaders" TargetMode="External"/><Relationship Id="rId284" Type="http://schemas.openxmlformats.org/officeDocument/2006/relationships/hyperlink" Target="https://www.nba.com/stats/events/?flag=1&amp;CFID=&amp;CFPARAMS=&amp;PlayerID=1627832&amp;TeamID=0&amp;GameID=&amp;ContextMeasure=REB&amp;Season=2021-22&amp;SeasonType=Regular%20Season&amp;LeagueID=00&amp;PerMode=PerGame&amp;Scope=S&amp;StatCategory=PTS&amp;section=leaders" TargetMode="External"/><Relationship Id="rId319" Type="http://schemas.openxmlformats.org/officeDocument/2006/relationships/hyperlink" Target="https://www.nba.com/stats/events/?flag=1&amp;CFID=&amp;CFPARAMS=&amp;PlayerID=1627749&amp;TeamID=0&amp;GameID=&amp;ContextMeasure=DREB&amp;Season=2021-22&amp;SeasonType=Regular%20Season&amp;LeagueID=00&amp;PerMode=PerGame&amp;Scope=S&amp;StatCategory=PTS&amp;section=leaders" TargetMode="External"/><Relationship Id="rId37" Type="http://schemas.openxmlformats.org/officeDocument/2006/relationships/hyperlink" Target="https://www.nba.com/player/1629027/traditional/" TargetMode="External"/><Relationship Id="rId58" Type="http://schemas.openxmlformats.org/officeDocument/2006/relationships/hyperlink" Target="https://www.nba.com/stats/events/?flag=1&amp;CFID=&amp;CFPARAMS=&amp;PlayerID=201942&amp;TeamID=0&amp;GameID=&amp;ContextMeasure=STL&amp;Season=2021-22&amp;SeasonType=Regular%20Season&amp;LeagueID=00&amp;PerMode=PerGame&amp;Scope=S&amp;StatCategory=PTS&amp;section=leaders" TargetMode="External"/><Relationship Id="rId79" Type="http://schemas.openxmlformats.org/officeDocument/2006/relationships/hyperlink" Target="https://www.nba.com/stats/events/?flag=1&amp;CFID=&amp;CFPARAMS=&amp;PlayerID=203999&amp;TeamID=0&amp;GameID=&amp;ContextMeasure=DREB&amp;Season=2021-22&amp;SeasonType=Regular%20Season&amp;LeagueID=00&amp;PerMode=PerGame&amp;Scope=S&amp;StatCategory=PTS&amp;section=leaders" TargetMode="External"/><Relationship Id="rId102" Type="http://schemas.openxmlformats.org/officeDocument/2006/relationships/hyperlink" Target="https://www.nba.com/stats/events/?flag=1&amp;CFID=&amp;CFPARAMS=&amp;PlayerID=1628369&amp;TeamID=0&amp;GameID=&amp;ContextMeasure=OREB&amp;Season=2021-22&amp;SeasonType=Regular%20Season&amp;LeagueID=00&amp;PerMode=PerGame&amp;Scope=S&amp;StatCategory=PTS&amp;section=leaders" TargetMode="External"/><Relationship Id="rId123" Type="http://schemas.openxmlformats.org/officeDocument/2006/relationships/hyperlink" Target="https://www.nba.com/stats/events/?flag=3&amp;CFID=&amp;CFPARAMS=&amp;PlayerID=1629630&amp;TeamID=0&amp;GameID=&amp;ContextMeasure=FGA&amp;Season=2021-22&amp;SeasonType=Regular%20Season&amp;LeagueID=00&amp;PerMode=PerGame&amp;Scope=S&amp;StatCategory=PTS&amp;section=leaders" TargetMode="External"/><Relationship Id="rId144" Type="http://schemas.openxmlformats.org/officeDocument/2006/relationships/hyperlink" Target="https://www.nba.com/stats/events/?flag=1&amp;CFID=&amp;CFPARAMS=&amp;PlayerID=1626157&amp;TeamID=0&amp;GameID=&amp;ContextMeasure=TOV&amp;Season=2021-22&amp;SeasonType=Regular%20Season&amp;LeagueID=00&amp;PerMode=PerGame&amp;Scope=S&amp;StatCategory=PTS&amp;section=leaders" TargetMode="External"/><Relationship Id="rId330" Type="http://schemas.openxmlformats.org/officeDocument/2006/relationships/hyperlink" Target="https://www.nba.com/stats/events/?flag=1&amp;CFID=&amp;CFPARAMS=&amp;PlayerID=1629636&amp;TeamID=0&amp;GameID=&amp;ContextMeasure=OREB&amp;Season=2021-22&amp;SeasonType=Regular%20Season&amp;LeagueID=00&amp;PerMode=PerGame&amp;Scope=S&amp;StatCategory=PTS&amp;section=leaders" TargetMode="External"/><Relationship Id="rId90" Type="http://schemas.openxmlformats.org/officeDocument/2006/relationships/hyperlink" Target="https://www.nba.com/stats/events/?flag=1&amp;CFID=&amp;CFPARAMS=&amp;PlayerID=1629029&amp;TeamID=0&amp;GameID=&amp;ContextMeasure=OREB&amp;Season=2021-22&amp;SeasonType=Regular%20Season&amp;LeagueID=00&amp;PerMode=PerGame&amp;Scope=S&amp;StatCategory=PTS&amp;section=leaders" TargetMode="External"/><Relationship Id="rId165" Type="http://schemas.openxmlformats.org/officeDocument/2006/relationships/hyperlink" Target="https://www.nba.com/stats/events/?flag=1&amp;CFID=&amp;CFPARAMS=&amp;PlayerID=1626164&amp;TeamID=0&amp;GameID=&amp;ContextMeasure=AST&amp;Season=2021-22&amp;SeasonType=Regular%20Season&amp;LeagueID=00&amp;PerMode=PerGame&amp;Scope=S&amp;StatCategory=PTS&amp;section=leaders" TargetMode="External"/><Relationship Id="rId186" Type="http://schemas.openxmlformats.org/officeDocument/2006/relationships/hyperlink" Target="https://www.nba.com/stats/events/?flag=1&amp;CFID=&amp;CFPARAMS=&amp;PlayerID=203078&amp;TeamID=0&amp;GameID=&amp;ContextMeasure=OREB&amp;Season=2021-22&amp;SeasonType=Regular%20Season&amp;LeagueID=00&amp;PerMode=PerGame&amp;Scope=S&amp;StatCategory=PTS&amp;section=leaders" TargetMode="External"/><Relationship Id="rId351" Type="http://schemas.openxmlformats.org/officeDocument/2006/relationships/hyperlink" Target="https://www.nba.com/stats/events/?flag=3&amp;CFID=&amp;CFPARAMS=&amp;PlayerID=1626174&amp;TeamID=0&amp;GameID=&amp;ContextMeasure=FGA&amp;Season=2021-22&amp;SeasonType=Regular%20Season&amp;LeagueID=00&amp;PerMode=PerGame&amp;Scope=S&amp;StatCategory=PTS&amp;section=leaders" TargetMode="External"/><Relationship Id="rId372" Type="http://schemas.openxmlformats.org/officeDocument/2006/relationships/hyperlink" Target="https://www.nba.com/stats/events/?flag=3&amp;CFID=&amp;CFPARAMS=&amp;PlayerID=1626157&amp;TeamID=0&amp;GameID=&amp;ContextMeasure=FGA&amp;Season=2021-22&amp;SeasonType=Regular%20Season&amp;LeagueID=00&amp;PerMode=PerGame&amp;Scope=S&amp;StatCategory=PTS&amp;section=leaders" TargetMode="External"/><Relationship Id="rId211" Type="http://schemas.openxmlformats.org/officeDocument/2006/relationships/hyperlink" Target="https://www.nba.com/stats/events/?flag=1&amp;CFID=&amp;CFPARAMS=&amp;PlayerID=203081&amp;TeamID=0&amp;GameID=&amp;ContextMeasure=DREB&amp;Season=2021-22&amp;SeasonType=Regular%20Season&amp;LeagueID=00&amp;PerMode=PerGame&amp;Scope=S&amp;StatCategory=PTS&amp;section=leaders" TargetMode="External"/><Relationship Id="rId232" Type="http://schemas.openxmlformats.org/officeDocument/2006/relationships/hyperlink" Target="https://www.nba.com/stats/events/?flag=3&amp;CFID=&amp;CFPARAMS=&amp;PlayerID=1627763&amp;TeamID=0&amp;GameID=&amp;ContextMeasure=FG3M&amp;Season=2021-22&amp;SeasonType=Regular%20Season&amp;LeagueID=00&amp;PerMode=PerGame&amp;Scope=S&amp;StatCategory=PTS&amp;section=leaders" TargetMode="External"/><Relationship Id="rId253" Type="http://schemas.openxmlformats.org/officeDocument/2006/relationships/hyperlink" Target="https://www.nba.com/player/1630163/traditional/" TargetMode="External"/><Relationship Id="rId274" Type="http://schemas.openxmlformats.org/officeDocument/2006/relationships/hyperlink" Target="https://www.nba.com/stats/events/?flag=1&amp;CFID=&amp;CFPARAMS=&amp;PlayerID=1630175&amp;TeamID=0&amp;GameID=&amp;ContextMeasure=STL&amp;Season=2021-22&amp;SeasonType=Regular%20Season&amp;LeagueID=00&amp;PerMode=PerGame&amp;Scope=S&amp;StatCategory=PTS&amp;section=leaders" TargetMode="External"/><Relationship Id="rId295" Type="http://schemas.openxmlformats.org/officeDocument/2006/relationships/hyperlink" Target="https://www.nba.com/stats/events/?flag=1&amp;CFID=&amp;CFPARAMS=&amp;PlayerID=203924&amp;TeamID=0&amp;GameID=&amp;ContextMeasure=DREB&amp;Season=2021-22&amp;SeasonType=Regular%20Season&amp;LeagueID=00&amp;PerMode=PerGame&amp;Scope=S&amp;StatCategory=PTS&amp;section=leaders" TargetMode="External"/><Relationship Id="rId309" Type="http://schemas.openxmlformats.org/officeDocument/2006/relationships/hyperlink" Target="https://www.nba.com/stats/events/?flag=1&amp;CFID=&amp;CFPARAMS=&amp;PlayerID=203944&amp;TeamID=0&amp;GameID=&amp;ContextMeasure=AST&amp;Season=2021-22&amp;SeasonType=Regular%20Season&amp;LeagueID=00&amp;PerMode=PerGame&amp;Scope=S&amp;StatCategory=PTS&amp;section=leaders" TargetMode="External"/><Relationship Id="rId27" Type="http://schemas.openxmlformats.org/officeDocument/2006/relationships/hyperlink" Target="https://www.nba.com/stats/events/?flag=3&amp;CFID=&amp;CFPARAMS=&amp;PlayerID=203507&amp;TeamID=0&amp;GameID=&amp;ContextMeasure=FGA&amp;Season=2021-22&amp;SeasonType=Regular%20Season&amp;LeagueID=00&amp;PerMode=PerGame&amp;Scope=S&amp;StatCategory=PTS&amp;section=leaders" TargetMode="External"/><Relationship Id="rId48" Type="http://schemas.openxmlformats.org/officeDocument/2006/relationships/hyperlink" Target="https://www.nba.com/stats/events/?flag=1&amp;CFID=&amp;CFPARAMS=&amp;PlayerID=1629027&amp;TeamID=0&amp;GameID=&amp;ContextMeasure=TOV&amp;Season=2021-22&amp;SeasonType=Regular%20Season&amp;LeagueID=00&amp;PerMode=PerGame&amp;Scope=S&amp;StatCategory=PTS&amp;section=leaders" TargetMode="External"/><Relationship Id="rId69" Type="http://schemas.openxmlformats.org/officeDocument/2006/relationships/hyperlink" Target="https://www.nba.com/stats/events/?flag=1&amp;CFID=&amp;CFPARAMS=&amp;PlayerID=202331&amp;TeamID=0&amp;GameID=&amp;ContextMeasure=AST&amp;Season=2021-22&amp;SeasonType=Regular%20Season&amp;LeagueID=00&amp;PerMode=PerGame&amp;Scope=S&amp;StatCategory=PTS&amp;section=leaders" TargetMode="External"/><Relationship Id="rId113" Type="http://schemas.openxmlformats.org/officeDocument/2006/relationships/hyperlink" Target="https://www.nba.com/stats/events/?flag=3&amp;CFID=&amp;CFPARAMS=&amp;PlayerID=203076&amp;TeamID=0&amp;GameID=&amp;ContextMeasure=FG3A&amp;Season=2021-22&amp;SeasonType=Regular%20Season&amp;LeagueID=00&amp;PerMode=PerGame&amp;Scope=S&amp;StatCategory=PTS&amp;section=leaders" TargetMode="External"/><Relationship Id="rId134" Type="http://schemas.openxmlformats.org/officeDocument/2006/relationships/hyperlink" Target="https://www.nba.com/stats/events/?flag=3&amp;CFID=&amp;CFPARAMS=&amp;PlayerID=1626157&amp;TeamID=0&amp;GameID=&amp;ContextMeasure=FGM&amp;Season=2021-22&amp;SeasonType=Regular%20Season&amp;LeagueID=00&amp;PerMode=PerGame&amp;Scope=S&amp;StatCategory=PTS&amp;section=leaders" TargetMode="External"/><Relationship Id="rId320" Type="http://schemas.openxmlformats.org/officeDocument/2006/relationships/hyperlink" Target="https://www.nba.com/stats/events/?flag=1&amp;CFID=&amp;CFPARAMS=&amp;PlayerID=1627749&amp;TeamID=0&amp;GameID=&amp;ContextMeasure=REB&amp;Season=2021-22&amp;SeasonType=Regular%20Season&amp;LeagueID=00&amp;PerMode=PerGame&amp;Scope=S&amp;StatCategory=PTS&amp;section=leaders" TargetMode="External"/><Relationship Id="rId80" Type="http://schemas.openxmlformats.org/officeDocument/2006/relationships/hyperlink" Target="https://www.nba.com/stats/events/?flag=1&amp;CFID=&amp;CFPARAMS=&amp;PlayerID=203999&amp;TeamID=0&amp;GameID=&amp;ContextMeasure=REB&amp;Season=2021-22&amp;SeasonType=Regular%20Season&amp;LeagueID=00&amp;PerMode=PerGame&amp;Scope=S&amp;StatCategory=PTS&amp;section=leaders" TargetMode="External"/><Relationship Id="rId155" Type="http://schemas.openxmlformats.org/officeDocument/2006/relationships/hyperlink" Target="https://www.nba.com/stats/events/?flag=1&amp;CFID=&amp;CFPARAMS=&amp;PlayerID=202710&amp;TeamID=0&amp;GameID=&amp;ContextMeasure=BLK&amp;Season=2021-22&amp;SeasonType=Regular%20Season&amp;LeagueID=00&amp;PerMode=PerGame&amp;Scope=S&amp;StatCategory=PTS&amp;section=leaders" TargetMode="External"/><Relationship Id="rId176" Type="http://schemas.openxmlformats.org/officeDocument/2006/relationships/hyperlink" Target="https://www.nba.com/stats/events/?flag=1&amp;CFID=&amp;CFPARAMS=&amp;PlayerID=1628378&amp;TeamID=0&amp;GameID=&amp;ContextMeasure=REB&amp;Season=2021-22&amp;SeasonType=Regular%20Season&amp;LeagueID=00&amp;PerMode=PerGame&amp;Scope=S&amp;StatCategory=PTS&amp;section=leaders" TargetMode="External"/><Relationship Id="rId197" Type="http://schemas.openxmlformats.org/officeDocument/2006/relationships/hyperlink" Target="https://www.nba.com/stats/events/?flag=3&amp;CFID=&amp;CFPARAMS=&amp;PlayerID=1627742&amp;TeamID=0&amp;GameID=&amp;ContextMeasure=FG3A&amp;Season=2021-22&amp;SeasonType=Regular%20Season&amp;LeagueID=00&amp;PerMode=PerGame&amp;Scope=S&amp;StatCategory=PTS&amp;section=leaders" TargetMode="External"/><Relationship Id="rId341" Type="http://schemas.openxmlformats.org/officeDocument/2006/relationships/hyperlink" Target="https://www.nba.com/stats/events/?flag=3&amp;CFID=&amp;CFPARAMS=&amp;PlayerID=1630178&amp;TeamID=0&amp;GameID=&amp;ContextMeasure=FG3A&amp;Season=2021-22&amp;SeasonType=Regular%20Season&amp;LeagueID=00&amp;PerMode=PerGame&amp;Scope=S&amp;StatCategory=PTS&amp;section=leaders" TargetMode="External"/><Relationship Id="rId362" Type="http://schemas.openxmlformats.org/officeDocument/2006/relationships/hyperlink" Target="https://www.nba.com/stats/events/?flag=3&amp;CFID=&amp;CFPARAMS=&amp;PlayerID=201939&amp;TeamID=0&amp;GameID=&amp;ContextMeasure=FGA&amp;Season=2021-22&amp;SeasonType=Regular%20Season&amp;LeagueID=00&amp;PerMode=PerGame&amp;Scope=S&amp;StatCategory=PTS&amp;section=leaders" TargetMode="External"/><Relationship Id="rId383" Type="http://schemas.openxmlformats.org/officeDocument/2006/relationships/hyperlink" Target="https://www.nba.com/stats/events/?flag=3&amp;CFID=&amp;CFPARAMS=&amp;PlayerID=1630175&amp;TeamID=0&amp;GameID=&amp;ContextMeasure=FGA&amp;Season=2021-22&amp;SeasonType=Regular%20Season&amp;LeagueID=00&amp;PerMode=PerGame&amp;Scope=S&amp;StatCategory=PTS&amp;section=leaders" TargetMode="External"/><Relationship Id="rId201" Type="http://schemas.openxmlformats.org/officeDocument/2006/relationships/hyperlink" Target="https://www.nba.com/stats/events/?flag=1&amp;CFID=&amp;CFPARAMS=&amp;PlayerID=1627742&amp;TeamID=0&amp;GameID=&amp;ContextMeasure=AST&amp;Season=2021-22&amp;SeasonType=Regular%20Season&amp;LeagueID=00&amp;PerMode=PerGame&amp;Scope=S&amp;StatCategory=PTS&amp;section=leaders" TargetMode="External"/><Relationship Id="rId222" Type="http://schemas.openxmlformats.org/officeDocument/2006/relationships/hyperlink" Target="https://www.nba.com/stats/events/?flag=1&amp;CFID=&amp;CFPARAMS=&amp;PlayerID=1628983&amp;TeamID=0&amp;GameID=&amp;ContextMeasure=OREB&amp;Season=2021-22&amp;SeasonType=Regular%20Season&amp;LeagueID=00&amp;PerMode=PerGame&amp;Scope=S&amp;StatCategory=PTS&amp;section=leaders" TargetMode="External"/><Relationship Id="rId243" Type="http://schemas.openxmlformats.org/officeDocument/2006/relationships/hyperlink" Target="https://www.nba.com/stats/events/?flag=3&amp;CFID=&amp;CFPARAMS=&amp;PlayerID=1628368&amp;TeamID=0&amp;GameID=&amp;ContextMeasure=FGA&amp;Season=2021-22&amp;SeasonType=Regular%20Season&amp;LeagueID=00&amp;PerMode=PerGame&amp;Scope=S&amp;StatCategory=PTS&amp;section=leaders" TargetMode="External"/><Relationship Id="rId264" Type="http://schemas.openxmlformats.org/officeDocument/2006/relationships/hyperlink" Target="https://www.nba.com/stats/events/?flag=1&amp;CFID=&amp;CFPARAMS=&amp;PlayerID=1630163&amp;TeamID=0&amp;GameID=&amp;ContextMeasure=TOV&amp;Season=2021-22&amp;SeasonType=Regular%20Season&amp;LeagueID=00&amp;PerMode=PerGame&amp;Scope=S&amp;StatCategory=PTS&amp;section=leaders" TargetMode="External"/><Relationship Id="rId285" Type="http://schemas.openxmlformats.org/officeDocument/2006/relationships/hyperlink" Target="https://www.nba.com/stats/events/?flag=1&amp;CFID=&amp;CFPARAMS=&amp;PlayerID=1627832&amp;TeamID=0&amp;GameID=&amp;ContextMeasure=AST&amp;Season=2021-22&amp;SeasonType=Regular%20Season&amp;LeagueID=00&amp;PerMode=PerGame&amp;Scope=S&amp;StatCategory=PTS&amp;section=leaders" TargetMode="External"/><Relationship Id="rId17" Type="http://schemas.openxmlformats.org/officeDocument/2006/relationships/hyperlink" Target="https://www.nba.com/stats/events/?flag=3&amp;CFID=&amp;CFPARAMS=&amp;PlayerID=201939&amp;TeamID=0&amp;GameID=&amp;ContextMeasure=FG3A&amp;Season=2021-22&amp;SeasonType=Regular%20Season&amp;LeagueID=00&amp;PerMode=PerGame&amp;Scope=S&amp;StatCategory=PTS&amp;section=leaders" TargetMode="External"/><Relationship Id="rId38" Type="http://schemas.openxmlformats.org/officeDocument/2006/relationships/hyperlink" Target="https://www.nba.com/stats/events/?flag=3&amp;CFID=&amp;CFPARAMS=&amp;PlayerID=1629027&amp;TeamID=0&amp;GameID=&amp;ContextMeasure=FGM&amp;Season=2021-22&amp;SeasonType=Regular%20Season&amp;LeagueID=00&amp;PerMode=PerGame&amp;Scope=S&amp;StatCategory=PTS&amp;section=leaders" TargetMode="External"/><Relationship Id="rId59" Type="http://schemas.openxmlformats.org/officeDocument/2006/relationships/hyperlink" Target="https://www.nba.com/stats/events/?flag=1&amp;CFID=&amp;CFPARAMS=&amp;PlayerID=201942&amp;TeamID=0&amp;GameID=&amp;ContextMeasure=BLK&amp;Season=2021-22&amp;SeasonType=Regular%20Season&amp;LeagueID=00&amp;PerMode=PerGame&amp;Scope=S&amp;StatCategory=PTS&amp;section=leaders" TargetMode="External"/><Relationship Id="rId103" Type="http://schemas.openxmlformats.org/officeDocument/2006/relationships/hyperlink" Target="https://www.nba.com/stats/events/?flag=1&amp;CFID=&amp;CFPARAMS=&amp;PlayerID=1628369&amp;TeamID=0&amp;GameID=&amp;ContextMeasure=DREB&amp;Season=2021-22&amp;SeasonType=Regular%20Season&amp;LeagueID=00&amp;PerMode=PerGame&amp;Scope=S&amp;StatCategory=PTS&amp;section=leaders" TargetMode="External"/><Relationship Id="rId124" Type="http://schemas.openxmlformats.org/officeDocument/2006/relationships/hyperlink" Target="https://www.nba.com/stats/events/?flag=3&amp;CFID=&amp;CFPARAMS=&amp;PlayerID=1629630&amp;TeamID=0&amp;GameID=&amp;ContextMeasure=FG3M&amp;Season=2021-22&amp;SeasonType=Regular%20Season&amp;LeagueID=00&amp;PerMode=PerGame&amp;Scope=S&amp;StatCategory=PTS&amp;section=leaders" TargetMode="External"/><Relationship Id="rId310" Type="http://schemas.openxmlformats.org/officeDocument/2006/relationships/hyperlink" Target="https://www.nba.com/stats/events/?flag=1&amp;CFID=&amp;CFPARAMS=&amp;PlayerID=203944&amp;TeamID=0&amp;GameID=&amp;ContextMeasure=STL&amp;Season=2021-22&amp;SeasonType=Regular%20Season&amp;LeagueID=00&amp;PerMode=PerGame&amp;Scope=S&amp;StatCategory=PTS&amp;section=leaders" TargetMode="External"/><Relationship Id="rId70" Type="http://schemas.openxmlformats.org/officeDocument/2006/relationships/hyperlink" Target="https://www.nba.com/stats/events/?flag=1&amp;CFID=&amp;CFPARAMS=&amp;PlayerID=202331&amp;TeamID=0&amp;GameID=&amp;ContextMeasure=STL&amp;Season=2021-22&amp;SeasonType=Regular%20Season&amp;LeagueID=00&amp;PerMode=PerGame&amp;Scope=S&amp;StatCategory=PTS&amp;section=leaders" TargetMode="External"/><Relationship Id="rId91" Type="http://schemas.openxmlformats.org/officeDocument/2006/relationships/hyperlink" Target="https://www.nba.com/stats/events/?flag=1&amp;CFID=&amp;CFPARAMS=&amp;PlayerID=1629029&amp;TeamID=0&amp;GameID=&amp;ContextMeasure=DREB&amp;Season=2021-22&amp;SeasonType=Regular%20Season&amp;LeagueID=00&amp;PerMode=PerGame&amp;Scope=S&amp;StatCategory=PTS&amp;section=leaders" TargetMode="External"/><Relationship Id="rId145" Type="http://schemas.openxmlformats.org/officeDocument/2006/relationships/hyperlink" Target="https://www.nba.com/player/202710/traditional/" TargetMode="External"/><Relationship Id="rId166" Type="http://schemas.openxmlformats.org/officeDocument/2006/relationships/hyperlink" Target="https://www.nba.com/stats/events/?flag=1&amp;CFID=&amp;CFPARAMS=&amp;PlayerID=1626164&amp;TeamID=0&amp;GameID=&amp;ContextMeasure=STL&amp;Season=2021-22&amp;SeasonType=Regular%20Season&amp;LeagueID=00&amp;PerMode=PerGame&amp;Scope=S&amp;StatCategory=PTS&amp;section=leaders" TargetMode="External"/><Relationship Id="rId187" Type="http://schemas.openxmlformats.org/officeDocument/2006/relationships/hyperlink" Target="https://www.nba.com/stats/events/?flag=1&amp;CFID=&amp;CFPARAMS=&amp;PlayerID=203078&amp;TeamID=0&amp;GameID=&amp;ContextMeasure=DREB&amp;Season=2021-22&amp;SeasonType=Regular%20Season&amp;LeagueID=00&amp;PerMode=PerGame&amp;Scope=S&amp;StatCategory=PTS&amp;section=leaders" TargetMode="External"/><Relationship Id="rId331" Type="http://schemas.openxmlformats.org/officeDocument/2006/relationships/hyperlink" Target="https://www.nba.com/stats/events/?flag=1&amp;CFID=&amp;CFPARAMS=&amp;PlayerID=1629636&amp;TeamID=0&amp;GameID=&amp;ContextMeasure=DREB&amp;Season=2021-22&amp;SeasonType=Regular%20Season&amp;LeagueID=00&amp;PerMode=PerGame&amp;Scope=S&amp;StatCategory=PTS&amp;section=leaders" TargetMode="External"/><Relationship Id="rId352" Type="http://schemas.openxmlformats.org/officeDocument/2006/relationships/hyperlink" Target="https://www.nba.com/stats/events/?flag=3&amp;CFID=&amp;CFPARAMS=&amp;PlayerID=1626174&amp;TeamID=0&amp;GameID=&amp;ContextMeasure=FG3M&amp;Season=2021-22&amp;SeasonType=Regular%20Season&amp;LeagueID=00&amp;PerMode=PerGame&amp;Scope=S&amp;StatCategory=PTS&amp;section=leaders" TargetMode="External"/><Relationship Id="rId373" Type="http://schemas.openxmlformats.org/officeDocument/2006/relationships/hyperlink" Target="https://www.nba.com/stats/events/?flag=3&amp;CFID=&amp;CFPARAMS=&amp;PlayerID=202710&amp;TeamID=0&amp;GameID=&amp;ContextMeasure=FGA&amp;Season=2021-22&amp;SeasonType=Regular%20Season&amp;LeagueID=00&amp;PerMode=PerGame&amp;Scope=S&amp;StatCategory=PTS&amp;section=leaders" TargetMode="External"/><Relationship Id="rId1" Type="http://schemas.openxmlformats.org/officeDocument/2006/relationships/hyperlink" Target="https://www.nba.com/player/201142/traditional/" TargetMode="External"/><Relationship Id="rId212" Type="http://schemas.openxmlformats.org/officeDocument/2006/relationships/hyperlink" Target="https://www.nba.com/stats/events/?flag=1&amp;CFID=&amp;CFPARAMS=&amp;PlayerID=203081&amp;TeamID=0&amp;GameID=&amp;ContextMeasure=REB&amp;Season=2021-22&amp;SeasonType=Regular%20Season&amp;LeagueID=00&amp;PerMode=PerGame&amp;Scope=S&amp;StatCategory=PTS&amp;section=leaders" TargetMode="External"/><Relationship Id="rId233" Type="http://schemas.openxmlformats.org/officeDocument/2006/relationships/hyperlink" Target="https://www.nba.com/stats/events/?flag=3&amp;CFID=&amp;CFPARAMS=&amp;PlayerID=1627763&amp;TeamID=0&amp;GameID=&amp;ContextMeasure=FG3A&amp;Season=2021-22&amp;SeasonType=Regular%20Season&amp;LeagueID=00&amp;PerMode=PerGame&amp;Scope=S&amp;StatCategory=PTS&amp;section=leaders" TargetMode="External"/><Relationship Id="rId254" Type="http://schemas.openxmlformats.org/officeDocument/2006/relationships/hyperlink" Target="https://www.nba.com/stats/events/?flag=3&amp;CFID=&amp;CFPARAMS=&amp;PlayerID=1630163&amp;TeamID=0&amp;GameID=&amp;ContextMeasure=FGM&amp;Season=2021-22&amp;SeasonType=Regular%20Season&amp;LeagueID=00&amp;PerMode=PerGame&amp;Scope=S&amp;StatCategory=PTS&amp;section=leaders" TargetMode="External"/><Relationship Id="rId28" Type="http://schemas.openxmlformats.org/officeDocument/2006/relationships/hyperlink" Target="https://www.nba.com/stats/events/?flag=3&amp;CFID=&amp;CFPARAMS=&amp;PlayerID=203507&amp;TeamID=0&amp;GameID=&amp;ContextMeasure=FG3M&amp;Season=2021-22&amp;SeasonType=Regular%20Season&amp;LeagueID=00&amp;PerMode=PerGame&amp;Scope=S&amp;StatCategory=PTS&amp;section=leaders" TargetMode="External"/><Relationship Id="rId49" Type="http://schemas.openxmlformats.org/officeDocument/2006/relationships/hyperlink" Target="https://www.nba.com/player/201942/traditional/" TargetMode="External"/><Relationship Id="rId114" Type="http://schemas.openxmlformats.org/officeDocument/2006/relationships/hyperlink" Target="https://www.nba.com/stats/events/?flag=1&amp;CFID=&amp;CFPARAMS=&amp;PlayerID=203076&amp;TeamID=0&amp;GameID=&amp;ContextMeasure=OREB&amp;Season=2021-22&amp;SeasonType=Regular%20Season&amp;LeagueID=00&amp;PerMode=PerGame&amp;Scope=S&amp;StatCategory=PTS&amp;section=leaders" TargetMode="External"/><Relationship Id="rId275" Type="http://schemas.openxmlformats.org/officeDocument/2006/relationships/hyperlink" Target="https://www.nba.com/stats/events/?flag=1&amp;CFID=&amp;CFPARAMS=&amp;PlayerID=1630175&amp;TeamID=0&amp;GameID=&amp;ContextMeasure=BLK&amp;Season=2021-22&amp;SeasonType=Regular%20Season&amp;LeagueID=00&amp;PerMode=PerGame&amp;Scope=S&amp;StatCategory=PTS&amp;section=leaders" TargetMode="External"/><Relationship Id="rId296" Type="http://schemas.openxmlformats.org/officeDocument/2006/relationships/hyperlink" Target="https://www.nba.com/stats/events/?flag=1&amp;CFID=&amp;CFPARAMS=&amp;PlayerID=203924&amp;TeamID=0&amp;GameID=&amp;ContextMeasure=REB&amp;Season=2021-22&amp;SeasonType=Regular%20Season&amp;LeagueID=00&amp;PerMode=PerGame&amp;Scope=S&amp;StatCategory=PTS&amp;section=leaders" TargetMode="External"/><Relationship Id="rId300" Type="http://schemas.openxmlformats.org/officeDocument/2006/relationships/hyperlink" Target="https://www.nba.com/stats/events/?flag=1&amp;CFID=&amp;CFPARAMS=&amp;PlayerID=203924&amp;TeamID=0&amp;GameID=&amp;ContextMeasure=TOV&amp;Season=2021-22&amp;SeasonType=Regular%20Season&amp;LeagueID=00&amp;PerMode=PerGame&amp;Scope=S&amp;StatCategory=PTS&amp;section=leaders" TargetMode="External"/><Relationship Id="rId60" Type="http://schemas.openxmlformats.org/officeDocument/2006/relationships/hyperlink" Target="https://www.nba.com/stats/events/?flag=1&amp;CFID=&amp;CFPARAMS=&amp;PlayerID=201942&amp;TeamID=0&amp;GameID=&amp;ContextMeasure=TOV&amp;Season=2021-22&amp;SeasonType=Regular%20Season&amp;LeagueID=00&amp;PerMode=PerGame&amp;Scope=S&amp;StatCategory=PTS&amp;section=leaders" TargetMode="External"/><Relationship Id="rId81" Type="http://schemas.openxmlformats.org/officeDocument/2006/relationships/hyperlink" Target="https://www.nba.com/stats/events/?flag=1&amp;CFID=&amp;CFPARAMS=&amp;PlayerID=203999&amp;TeamID=0&amp;GameID=&amp;ContextMeasure=AST&amp;Season=2021-22&amp;SeasonType=Regular%20Season&amp;LeagueID=00&amp;PerMode=PerGame&amp;Scope=S&amp;StatCategory=PTS&amp;section=leaders" TargetMode="External"/><Relationship Id="rId135" Type="http://schemas.openxmlformats.org/officeDocument/2006/relationships/hyperlink" Target="https://www.nba.com/stats/events/?flag=3&amp;CFID=&amp;CFPARAMS=&amp;PlayerID=1626157&amp;TeamID=0&amp;GameID=&amp;ContextMeasure=FGA&amp;Season=2021-22&amp;SeasonType=Regular%20Season&amp;LeagueID=00&amp;PerMode=PerGame&amp;Scope=S&amp;StatCategory=PTS&amp;section=leaders" TargetMode="External"/><Relationship Id="rId156" Type="http://schemas.openxmlformats.org/officeDocument/2006/relationships/hyperlink" Target="https://www.nba.com/stats/events/?flag=1&amp;CFID=&amp;CFPARAMS=&amp;PlayerID=202710&amp;TeamID=0&amp;GameID=&amp;ContextMeasure=TOV&amp;Season=2021-22&amp;SeasonType=Regular%20Season&amp;LeagueID=00&amp;PerMode=PerGame&amp;Scope=S&amp;StatCategory=PTS&amp;section=leaders" TargetMode="External"/><Relationship Id="rId177" Type="http://schemas.openxmlformats.org/officeDocument/2006/relationships/hyperlink" Target="https://www.nba.com/stats/events/?flag=1&amp;CFID=&amp;CFPARAMS=&amp;PlayerID=1628378&amp;TeamID=0&amp;GameID=&amp;ContextMeasure=AST&amp;Season=2021-22&amp;SeasonType=Regular%20Season&amp;LeagueID=00&amp;PerMode=PerGame&amp;Scope=S&amp;StatCategory=PTS&amp;section=leaders" TargetMode="External"/><Relationship Id="rId198" Type="http://schemas.openxmlformats.org/officeDocument/2006/relationships/hyperlink" Target="https://www.nba.com/stats/events/?flag=1&amp;CFID=&amp;CFPARAMS=&amp;PlayerID=1627742&amp;TeamID=0&amp;GameID=&amp;ContextMeasure=OREB&amp;Season=2021-22&amp;SeasonType=Regular%20Season&amp;LeagueID=00&amp;PerMode=PerGame&amp;Scope=S&amp;StatCategory=PTS&amp;section=leaders" TargetMode="External"/><Relationship Id="rId321" Type="http://schemas.openxmlformats.org/officeDocument/2006/relationships/hyperlink" Target="https://www.nba.com/stats/events/?flag=1&amp;CFID=&amp;CFPARAMS=&amp;PlayerID=1627749&amp;TeamID=0&amp;GameID=&amp;ContextMeasure=AST&amp;Season=2021-22&amp;SeasonType=Regular%20Season&amp;LeagueID=00&amp;PerMode=PerGame&amp;Scope=S&amp;StatCategory=PTS&amp;section=leaders" TargetMode="External"/><Relationship Id="rId342" Type="http://schemas.openxmlformats.org/officeDocument/2006/relationships/hyperlink" Target="https://www.nba.com/stats/events/?flag=1&amp;CFID=&amp;CFPARAMS=&amp;PlayerID=1630178&amp;TeamID=0&amp;GameID=&amp;ContextMeasure=OREB&amp;Season=2021-22&amp;SeasonType=Regular%20Season&amp;LeagueID=00&amp;PerMode=PerGame&amp;Scope=S&amp;StatCategory=PTS&amp;section=leaders" TargetMode="External"/><Relationship Id="rId363" Type="http://schemas.openxmlformats.org/officeDocument/2006/relationships/hyperlink" Target="https://www.nba.com/stats/events/?flag=3&amp;CFID=&amp;CFPARAMS=&amp;PlayerID=203507&amp;TeamID=0&amp;GameID=&amp;ContextMeasure=FGA&amp;Season=2021-22&amp;SeasonType=Regular%20Season&amp;LeagueID=00&amp;PerMode=PerGame&amp;Scope=S&amp;StatCategory=PTS&amp;section=leaders" TargetMode="External"/><Relationship Id="rId384" Type="http://schemas.openxmlformats.org/officeDocument/2006/relationships/hyperlink" Target="https://www.nba.com/stats/events/?flag=3&amp;CFID=&amp;CFPARAMS=&amp;PlayerID=1627832&amp;TeamID=0&amp;GameID=&amp;ContextMeasure=FGA&amp;Season=2021-22&amp;SeasonType=Regular%20Season&amp;LeagueID=00&amp;PerMode=PerGame&amp;Scope=S&amp;StatCategory=PTS&amp;section=leaders" TargetMode="External"/><Relationship Id="rId202" Type="http://schemas.openxmlformats.org/officeDocument/2006/relationships/hyperlink" Target="https://www.nba.com/stats/events/?flag=1&amp;CFID=&amp;CFPARAMS=&amp;PlayerID=1627742&amp;TeamID=0&amp;GameID=&amp;ContextMeasure=STL&amp;Season=2021-22&amp;SeasonType=Regular%20Season&amp;LeagueID=00&amp;PerMode=PerGame&amp;Scope=S&amp;StatCategory=PTS&amp;section=leaders" TargetMode="External"/><Relationship Id="rId223" Type="http://schemas.openxmlformats.org/officeDocument/2006/relationships/hyperlink" Target="https://www.nba.com/stats/events/?flag=1&amp;CFID=&amp;CFPARAMS=&amp;PlayerID=1628983&amp;TeamID=0&amp;GameID=&amp;ContextMeasure=DREB&amp;Season=2021-22&amp;SeasonType=Regular%20Season&amp;LeagueID=00&amp;PerMode=PerGame&amp;Scope=S&amp;StatCategory=PTS&amp;section=leaders" TargetMode="External"/><Relationship Id="rId244" Type="http://schemas.openxmlformats.org/officeDocument/2006/relationships/hyperlink" Target="https://www.nba.com/stats/events/?flag=3&amp;CFID=&amp;CFPARAMS=&amp;PlayerID=1628368&amp;TeamID=0&amp;GameID=&amp;ContextMeasure=FG3M&amp;Season=2021-22&amp;SeasonType=Regular%20Season&amp;LeagueID=00&amp;PerMode=PerGame&amp;Scope=S&amp;StatCategory=PTS&amp;section=leaders" TargetMode="External"/><Relationship Id="rId18" Type="http://schemas.openxmlformats.org/officeDocument/2006/relationships/hyperlink" Target="https://www.nba.com/stats/events/?flag=1&amp;CFID=&amp;CFPARAMS=&amp;PlayerID=201939&amp;TeamID=0&amp;GameID=&amp;ContextMeasure=OREB&amp;Season=2021-22&amp;SeasonType=Regular%20Season&amp;LeagueID=00&amp;PerMode=PerGame&amp;Scope=S&amp;StatCategory=PTS&amp;section=leaders" TargetMode="External"/><Relationship Id="rId39" Type="http://schemas.openxmlformats.org/officeDocument/2006/relationships/hyperlink" Target="https://www.nba.com/stats/events/?flag=3&amp;CFID=&amp;CFPARAMS=&amp;PlayerID=1629027&amp;TeamID=0&amp;GameID=&amp;ContextMeasure=FGA&amp;Season=2021-22&amp;SeasonType=Regular%20Season&amp;LeagueID=00&amp;PerMode=PerGame&amp;Scope=S&amp;StatCategory=PTS&amp;section=leaders" TargetMode="External"/><Relationship Id="rId265" Type="http://schemas.openxmlformats.org/officeDocument/2006/relationships/hyperlink" Target="https://www.nba.com/player/1630175/traditional/" TargetMode="External"/><Relationship Id="rId286" Type="http://schemas.openxmlformats.org/officeDocument/2006/relationships/hyperlink" Target="https://www.nba.com/stats/events/?flag=1&amp;CFID=&amp;CFPARAMS=&amp;PlayerID=1627832&amp;TeamID=0&amp;GameID=&amp;ContextMeasure=STL&amp;Season=2021-22&amp;SeasonType=Regular%20Season&amp;LeagueID=00&amp;PerMode=PerGame&amp;Scope=S&amp;StatCategory=PTS&amp;section=leaders" TargetMode="External"/><Relationship Id="rId50" Type="http://schemas.openxmlformats.org/officeDocument/2006/relationships/hyperlink" Target="https://www.nba.com/stats/events/?flag=3&amp;CFID=&amp;CFPARAMS=&amp;PlayerID=201942&amp;TeamID=0&amp;GameID=&amp;ContextMeasure=FGM&amp;Season=2021-22&amp;SeasonType=Regular%20Season&amp;LeagueID=00&amp;PerMode=PerGame&amp;Scope=S&amp;StatCategory=PTS&amp;section=leaders" TargetMode="External"/><Relationship Id="rId104" Type="http://schemas.openxmlformats.org/officeDocument/2006/relationships/hyperlink" Target="https://www.nba.com/stats/events/?flag=1&amp;CFID=&amp;CFPARAMS=&amp;PlayerID=1628369&amp;TeamID=0&amp;GameID=&amp;ContextMeasure=REB&amp;Season=2021-22&amp;SeasonType=Regular%20Season&amp;LeagueID=00&amp;PerMode=PerGame&amp;Scope=S&amp;StatCategory=PTS&amp;section=leaders" TargetMode="External"/><Relationship Id="rId125" Type="http://schemas.openxmlformats.org/officeDocument/2006/relationships/hyperlink" Target="https://www.nba.com/stats/events/?flag=3&amp;CFID=&amp;CFPARAMS=&amp;PlayerID=1629630&amp;TeamID=0&amp;GameID=&amp;ContextMeasure=FG3A&amp;Season=2021-22&amp;SeasonType=Regular%20Season&amp;LeagueID=00&amp;PerMode=PerGame&amp;Scope=S&amp;StatCategory=PTS&amp;section=leaders" TargetMode="External"/><Relationship Id="rId146" Type="http://schemas.openxmlformats.org/officeDocument/2006/relationships/hyperlink" Target="https://www.nba.com/stats/events/?flag=3&amp;CFID=&amp;CFPARAMS=&amp;PlayerID=202710&amp;TeamID=0&amp;GameID=&amp;ContextMeasure=FGM&amp;Season=2021-22&amp;SeasonType=Regular%20Season&amp;LeagueID=00&amp;PerMode=PerGame&amp;Scope=S&amp;StatCategory=PTS&amp;section=leaders" TargetMode="External"/><Relationship Id="rId167" Type="http://schemas.openxmlformats.org/officeDocument/2006/relationships/hyperlink" Target="https://www.nba.com/stats/events/?flag=1&amp;CFID=&amp;CFPARAMS=&amp;PlayerID=1626164&amp;TeamID=0&amp;GameID=&amp;ContextMeasure=BLK&amp;Season=2021-22&amp;SeasonType=Regular%20Season&amp;LeagueID=00&amp;PerMode=PerGame&amp;Scope=S&amp;StatCategory=PTS&amp;section=leaders" TargetMode="External"/><Relationship Id="rId188" Type="http://schemas.openxmlformats.org/officeDocument/2006/relationships/hyperlink" Target="https://www.nba.com/stats/events/?flag=1&amp;CFID=&amp;CFPARAMS=&amp;PlayerID=203078&amp;TeamID=0&amp;GameID=&amp;ContextMeasure=REB&amp;Season=2021-22&amp;SeasonType=Regular%20Season&amp;LeagueID=00&amp;PerMode=PerGame&amp;Scope=S&amp;StatCategory=PTS&amp;section=leaders" TargetMode="External"/><Relationship Id="rId311" Type="http://schemas.openxmlformats.org/officeDocument/2006/relationships/hyperlink" Target="https://www.nba.com/stats/events/?flag=1&amp;CFID=&amp;CFPARAMS=&amp;PlayerID=203944&amp;TeamID=0&amp;GameID=&amp;ContextMeasure=BLK&amp;Season=2021-22&amp;SeasonType=Regular%20Season&amp;LeagueID=00&amp;PerMode=PerGame&amp;Scope=S&amp;StatCategory=PTS&amp;section=leaders" TargetMode="External"/><Relationship Id="rId332" Type="http://schemas.openxmlformats.org/officeDocument/2006/relationships/hyperlink" Target="https://www.nba.com/stats/events/?flag=1&amp;CFID=&amp;CFPARAMS=&amp;PlayerID=1629636&amp;TeamID=0&amp;GameID=&amp;ContextMeasure=REB&amp;Season=2021-22&amp;SeasonType=Regular%20Season&amp;LeagueID=00&amp;PerMode=PerGame&amp;Scope=S&amp;StatCategory=PTS&amp;section=leaders" TargetMode="External"/><Relationship Id="rId353" Type="http://schemas.openxmlformats.org/officeDocument/2006/relationships/hyperlink" Target="https://www.nba.com/stats/events/?flag=3&amp;CFID=&amp;CFPARAMS=&amp;PlayerID=1626174&amp;TeamID=0&amp;GameID=&amp;ContextMeasure=FG3A&amp;Season=2021-22&amp;SeasonType=Regular%20Season&amp;LeagueID=00&amp;PerMode=PerGame&amp;Scope=S&amp;StatCategory=PTS&amp;section=leaders" TargetMode="External"/><Relationship Id="rId374" Type="http://schemas.openxmlformats.org/officeDocument/2006/relationships/hyperlink" Target="https://www.nba.com/stats/events/?flag=3&amp;CFID=&amp;CFPARAMS=&amp;PlayerID=1626164&amp;TeamID=0&amp;GameID=&amp;ContextMeasure=FGA&amp;Season=2021-22&amp;SeasonType=Regular%20Season&amp;LeagueID=00&amp;PerMode=PerGame&amp;Scope=S&amp;StatCategory=PTS&amp;section=leaders" TargetMode="External"/><Relationship Id="rId71" Type="http://schemas.openxmlformats.org/officeDocument/2006/relationships/hyperlink" Target="https://www.nba.com/stats/events/?flag=1&amp;CFID=&amp;CFPARAMS=&amp;PlayerID=202331&amp;TeamID=0&amp;GameID=&amp;ContextMeasure=BLK&amp;Season=2021-22&amp;SeasonType=Regular%20Season&amp;LeagueID=00&amp;PerMode=PerGame&amp;Scope=S&amp;StatCategory=PTS&amp;section=leaders" TargetMode="External"/><Relationship Id="rId92" Type="http://schemas.openxmlformats.org/officeDocument/2006/relationships/hyperlink" Target="https://www.nba.com/stats/events/?flag=1&amp;CFID=&amp;CFPARAMS=&amp;PlayerID=1629029&amp;TeamID=0&amp;GameID=&amp;ContextMeasure=REB&amp;Season=2021-22&amp;SeasonType=Regular%20Season&amp;LeagueID=00&amp;PerMode=PerGame&amp;Scope=S&amp;StatCategory=PTS&amp;section=leaders" TargetMode="External"/><Relationship Id="rId213" Type="http://schemas.openxmlformats.org/officeDocument/2006/relationships/hyperlink" Target="https://www.nba.com/stats/events/?flag=1&amp;CFID=&amp;CFPARAMS=&amp;PlayerID=203081&amp;TeamID=0&amp;GameID=&amp;ContextMeasure=AST&amp;Season=2021-22&amp;SeasonType=Regular%20Season&amp;LeagueID=00&amp;PerMode=PerGame&amp;Scope=S&amp;StatCategory=PTS&amp;section=leaders" TargetMode="External"/><Relationship Id="rId234" Type="http://schemas.openxmlformats.org/officeDocument/2006/relationships/hyperlink" Target="https://www.nba.com/stats/events/?flag=1&amp;CFID=&amp;CFPARAMS=&amp;PlayerID=1627763&amp;TeamID=0&amp;GameID=&amp;ContextMeasure=OREB&amp;Season=2021-22&amp;SeasonType=Regular%20Season&amp;LeagueID=00&amp;PerMode=PerGame&amp;Scope=S&amp;StatCategory=PTS&amp;section=leaders" TargetMode="External"/><Relationship Id="rId2" Type="http://schemas.openxmlformats.org/officeDocument/2006/relationships/hyperlink" Target="https://www.nba.com/stats/events/?flag=3&amp;CFID=&amp;CFPARAMS=&amp;PlayerID=201142&amp;TeamID=0&amp;GameID=&amp;ContextMeasure=FGM&amp;Season=2021-22&amp;SeasonType=Regular%20Season&amp;LeagueID=00&amp;PerMode=PerGame&amp;Scope=S&amp;StatCategory=PTS&amp;section=leaders" TargetMode="External"/><Relationship Id="rId29" Type="http://schemas.openxmlformats.org/officeDocument/2006/relationships/hyperlink" Target="https://www.nba.com/stats/events/?flag=3&amp;CFID=&amp;CFPARAMS=&amp;PlayerID=203507&amp;TeamID=0&amp;GameID=&amp;ContextMeasure=FG3A&amp;Season=2021-22&amp;SeasonType=Regular%20Season&amp;LeagueID=00&amp;PerMode=PerGame&amp;Scope=S&amp;StatCategory=PTS&amp;section=leaders" TargetMode="External"/><Relationship Id="rId255" Type="http://schemas.openxmlformats.org/officeDocument/2006/relationships/hyperlink" Target="https://www.nba.com/stats/events/?flag=3&amp;CFID=&amp;CFPARAMS=&amp;PlayerID=1630163&amp;TeamID=0&amp;GameID=&amp;ContextMeasure=FGA&amp;Season=2021-22&amp;SeasonType=Regular%20Season&amp;LeagueID=00&amp;PerMode=PerGame&amp;Scope=S&amp;StatCategory=PTS&amp;section=leaders" TargetMode="External"/><Relationship Id="rId276" Type="http://schemas.openxmlformats.org/officeDocument/2006/relationships/hyperlink" Target="https://www.nba.com/stats/events/?flag=1&amp;CFID=&amp;CFPARAMS=&amp;PlayerID=1630175&amp;TeamID=0&amp;GameID=&amp;ContextMeasure=TOV&amp;Season=2021-22&amp;SeasonType=Regular%20Season&amp;LeagueID=00&amp;PerMode=PerGame&amp;Scope=S&amp;StatCategory=PTS&amp;section=leaders" TargetMode="External"/><Relationship Id="rId297" Type="http://schemas.openxmlformats.org/officeDocument/2006/relationships/hyperlink" Target="https://www.nba.com/stats/events/?flag=1&amp;CFID=&amp;CFPARAMS=&amp;PlayerID=203924&amp;TeamID=0&amp;GameID=&amp;ContextMeasure=AST&amp;Season=2021-22&amp;SeasonType=Regular%20Season&amp;LeagueID=00&amp;PerMode=PerGame&amp;Scope=S&amp;StatCategory=PTS&amp;section=leaders" TargetMode="External"/><Relationship Id="rId40" Type="http://schemas.openxmlformats.org/officeDocument/2006/relationships/hyperlink" Target="https://www.nba.com/stats/events/?flag=3&amp;CFID=&amp;CFPARAMS=&amp;PlayerID=1629027&amp;TeamID=0&amp;GameID=&amp;ContextMeasure=FG3M&amp;Season=2021-22&amp;SeasonType=Regular%20Season&amp;LeagueID=00&amp;PerMode=PerGame&amp;Scope=S&amp;StatCategory=PTS&amp;section=leaders" TargetMode="External"/><Relationship Id="rId115" Type="http://schemas.openxmlformats.org/officeDocument/2006/relationships/hyperlink" Target="https://www.nba.com/stats/events/?flag=1&amp;CFID=&amp;CFPARAMS=&amp;PlayerID=203076&amp;TeamID=0&amp;GameID=&amp;ContextMeasure=DREB&amp;Season=2021-22&amp;SeasonType=Regular%20Season&amp;LeagueID=00&amp;PerMode=PerGame&amp;Scope=S&amp;StatCategory=PTS&amp;section=leaders" TargetMode="External"/><Relationship Id="rId136" Type="http://schemas.openxmlformats.org/officeDocument/2006/relationships/hyperlink" Target="https://www.nba.com/stats/events/?flag=3&amp;CFID=&amp;CFPARAMS=&amp;PlayerID=1626157&amp;TeamID=0&amp;GameID=&amp;ContextMeasure=FG3M&amp;Season=2021-22&amp;SeasonType=Regular%20Season&amp;LeagueID=00&amp;PerMode=PerGame&amp;Scope=S&amp;StatCategory=PTS&amp;section=leaders" TargetMode="External"/><Relationship Id="rId157" Type="http://schemas.openxmlformats.org/officeDocument/2006/relationships/hyperlink" Target="https://www.nba.com/player/1626164/traditional/" TargetMode="External"/><Relationship Id="rId178" Type="http://schemas.openxmlformats.org/officeDocument/2006/relationships/hyperlink" Target="https://www.nba.com/stats/events/?flag=1&amp;CFID=&amp;CFPARAMS=&amp;PlayerID=1628378&amp;TeamID=0&amp;GameID=&amp;ContextMeasure=STL&amp;Season=2021-22&amp;SeasonType=Regular%20Season&amp;LeagueID=00&amp;PerMode=PerGame&amp;Scope=S&amp;StatCategory=PTS&amp;section=leaders" TargetMode="External"/><Relationship Id="rId301" Type="http://schemas.openxmlformats.org/officeDocument/2006/relationships/hyperlink" Target="https://www.nba.com/player/203944/traditional/" TargetMode="External"/><Relationship Id="rId322" Type="http://schemas.openxmlformats.org/officeDocument/2006/relationships/hyperlink" Target="https://www.nba.com/stats/events/?flag=1&amp;CFID=&amp;CFPARAMS=&amp;PlayerID=1627749&amp;TeamID=0&amp;GameID=&amp;ContextMeasure=STL&amp;Season=2021-22&amp;SeasonType=Regular%20Season&amp;LeagueID=00&amp;PerMode=PerGame&amp;Scope=S&amp;StatCategory=PTS&amp;section=leaders" TargetMode="External"/><Relationship Id="rId343" Type="http://schemas.openxmlformats.org/officeDocument/2006/relationships/hyperlink" Target="https://www.nba.com/stats/events/?flag=1&amp;CFID=&amp;CFPARAMS=&amp;PlayerID=1630178&amp;TeamID=0&amp;GameID=&amp;ContextMeasure=DREB&amp;Season=2021-22&amp;SeasonType=Regular%20Season&amp;LeagueID=00&amp;PerMode=PerGame&amp;Scope=S&amp;StatCategory=PTS&amp;section=leaders" TargetMode="External"/><Relationship Id="rId364" Type="http://schemas.openxmlformats.org/officeDocument/2006/relationships/hyperlink" Target="https://www.nba.com/stats/events/?flag=3&amp;CFID=&amp;CFPARAMS=&amp;PlayerID=1629027&amp;TeamID=0&amp;GameID=&amp;ContextMeasure=FGA&amp;Season=2021-22&amp;SeasonType=Regular%20Season&amp;LeagueID=00&amp;PerMode=PerGame&amp;Scope=S&amp;StatCategory=PTS&amp;section=leaders" TargetMode="External"/><Relationship Id="rId61" Type="http://schemas.openxmlformats.org/officeDocument/2006/relationships/hyperlink" Target="https://www.nba.com/player/202331/traditional/" TargetMode="External"/><Relationship Id="rId82" Type="http://schemas.openxmlformats.org/officeDocument/2006/relationships/hyperlink" Target="https://www.nba.com/stats/events/?flag=1&amp;CFID=&amp;CFPARAMS=&amp;PlayerID=203999&amp;TeamID=0&amp;GameID=&amp;ContextMeasure=STL&amp;Season=2021-22&amp;SeasonType=Regular%20Season&amp;LeagueID=00&amp;PerMode=PerGame&amp;Scope=S&amp;StatCategory=PTS&amp;section=leaders" TargetMode="External"/><Relationship Id="rId199" Type="http://schemas.openxmlformats.org/officeDocument/2006/relationships/hyperlink" Target="https://www.nba.com/stats/events/?flag=1&amp;CFID=&amp;CFPARAMS=&amp;PlayerID=1627742&amp;TeamID=0&amp;GameID=&amp;ContextMeasure=DREB&amp;Season=2021-22&amp;SeasonType=Regular%20Season&amp;LeagueID=00&amp;PerMode=PerGame&amp;Scope=S&amp;StatCategory=PTS&amp;section=leaders" TargetMode="External"/><Relationship Id="rId203" Type="http://schemas.openxmlformats.org/officeDocument/2006/relationships/hyperlink" Target="https://www.nba.com/stats/events/?flag=1&amp;CFID=&amp;CFPARAMS=&amp;PlayerID=1627742&amp;TeamID=0&amp;GameID=&amp;ContextMeasure=BLK&amp;Season=2021-22&amp;SeasonType=Regular%20Season&amp;LeagueID=00&amp;PerMode=PerGame&amp;Scope=S&amp;StatCategory=PTS&amp;section=leaders" TargetMode="External"/><Relationship Id="rId385" Type="http://schemas.openxmlformats.org/officeDocument/2006/relationships/hyperlink" Target="https://www.nba.com/stats/events/?flag=3&amp;CFID=&amp;CFPARAMS=&amp;PlayerID=203924&amp;TeamID=0&amp;GameID=&amp;ContextMeasure=FGA&amp;Season=2021-22&amp;SeasonType=Regular%20Season&amp;LeagueID=00&amp;PerMode=PerGame&amp;Scope=S&amp;StatCategory=PTS&amp;section=leaders" TargetMode="External"/><Relationship Id="rId19" Type="http://schemas.openxmlformats.org/officeDocument/2006/relationships/hyperlink" Target="https://www.nba.com/stats/events/?flag=1&amp;CFID=&amp;CFPARAMS=&amp;PlayerID=201939&amp;TeamID=0&amp;GameID=&amp;ContextMeasure=DREB&amp;Season=2021-22&amp;SeasonType=Regular%20Season&amp;LeagueID=00&amp;PerMode=PerGame&amp;Scope=S&amp;StatCategory=PTS&amp;section=leaders" TargetMode="External"/><Relationship Id="rId224" Type="http://schemas.openxmlformats.org/officeDocument/2006/relationships/hyperlink" Target="https://www.nba.com/stats/events/?flag=1&amp;CFID=&amp;CFPARAMS=&amp;PlayerID=1628983&amp;TeamID=0&amp;GameID=&amp;ContextMeasure=REB&amp;Season=2021-22&amp;SeasonType=Regular%20Season&amp;LeagueID=00&amp;PerMode=PerGame&amp;Scope=S&amp;StatCategory=PTS&amp;section=leaders" TargetMode="External"/><Relationship Id="rId245" Type="http://schemas.openxmlformats.org/officeDocument/2006/relationships/hyperlink" Target="https://www.nba.com/stats/events/?flag=3&amp;CFID=&amp;CFPARAMS=&amp;PlayerID=1628368&amp;TeamID=0&amp;GameID=&amp;ContextMeasure=FG3A&amp;Season=2021-22&amp;SeasonType=Regular%20Season&amp;LeagueID=00&amp;PerMode=PerGame&amp;Scope=S&amp;StatCategory=PTS&amp;section=leaders" TargetMode="External"/><Relationship Id="rId266" Type="http://schemas.openxmlformats.org/officeDocument/2006/relationships/hyperlink" Target="https://www.nba.com/stats/events/?flag=3&amp;CFID=&amp;CFPARAMS=&amp;PlayerID=1630175&amp;TeamID=0&amp;GameID=&amp;ContextMeasure=FGM&amp;Season=2021-22&amp;SeasonType=Regular%20Season&amp;LeagueID=00&amp;PerMode=PerGame&amp;Scope=S&amp;StatCategory=PTS&amp;section=leaders" TargetMode="External"/><Relationship Id="rId287" Type="http://schemas.openxmlformats.org/officeDocument/2006/relationships/hyperlink" Target="https://www.nba.com/stats/events/?flag=1&amp;CFID=&amp;CFPARAMS=&amp;PlayerID=1627832&amp;TeamID=0&amp;GameID=&amp;ContextMeasure=BLK&amp;Season=2021-22&amp;SeasonType=Regular%20Season&amp;LeagueID=00&amp;PerMode=PerGame&amp;Scope=S&amp;StatCategory=PTS&amp;section=leaders" TargetMode="External"/><Relationship Id="rId30" Type="http://schemas.openxmlformats.org/officeDocument/2006/relationships/hyperlink" Target="https://www.nba.com/stats/events/?flag=1&amp;CFID=&amp;CFPARAMS=&amp;PlayerID=203507&amp;TeamID=0&amp;GameID=&amp;ContextMeasure=OREB&amp;Season=2021-22&amp;SeasonType=Regular%20Season&amp;LeagueID=00&amp;PerMode=PerGame&amp;Scope=S&amp;StatCategory=PTS&amp;section=leaders" TargetMode="External"/><Relationship Id="rId105" Type="http://schemas.openxmlformats.org/officeDocument/2006/relationships/hyperlink" Target="https://www.nba.com/stats/events/?flag=1&amp;CFID=&amp;CFPARAMS=&amp;PlayerID=1628369&amp;TeamID=0&amp;GameID=&amp;ContextMeasure=AST&amp;Season=2021-22&amp;SeasonType=Regular%20Season&amp;LeagueID=00&amp;PerMode=PerGame&amp;Scope=S&amp;StatCategory=PTS&amp;section=leaders" TargetMode="External"/><Relationship Id="rId126" Type="http://schemas.openxmlformats.org/officeDocument/2006/relationships/hyperlink" Target="https://www.nba.com/stats/events/?flag=1&amp;CFID=&amp;CFPARAMS=&amp;PlayerID=1629630&amp;TeamID=0&amp;GameID=&amp;ContextMeasure=OREB&amp;Season=2021-22&amp;SeasonType=Regular%20Season&amp;LeagueID=00&amp;PerMode=PerGame&amp;Scope=S&amp;StatCategory=PTS&amp;section=leaders" TargetMode="External"/><Relationship Id="rId147" Type="http://schemas.openxmlformats.org/officeDocument/2006/relationships/hyperlink" Target="https://www.nba.com/stats/events/?flag=3&amp;CFID=&amp;CFPARAMS=&amp;PlayerID=202710&amp;TeamID=0&amp;GameID=&amp;ContextMeasure=FGA&amp;Season=2021-22&amp;SeasonType=Regular%20Season&amp;LeagueID=00&amp;PerMode=PerGame&amp;Scope=S&amp;StatCategory=PTS&amp;section=leaders" TargetMode="External"/><Relationship Id="rId168" Type="http://schemas.openxmlformats.org/officeDocument/2006/relationships/hyperlink" Target="https://www.nba.com/stats/events/?flag=1&amp;CFID=&amp;CFPARAMS=&amp;PlayerID=1626164&amp;TeamID=0&amp;GameID=&amp;ContextMeasure=TOV&amp;Season=2021-22&amp;SeasonType=Regular%20Season&amp;LeagueID=00&amp;PerMode=PerGame&amp;Scope=S&amp;StatCategory=PTS&amp;section=leaders" TargetMode="External"/><Relationship Id="rId312" Type="http://schemas.openxmlformats.org/officeDocument/2006/relationships/hyperlink" Target="https://www.nba.com/stats/events/?flag=1&amp;CFID=&amp;CFPARAMS=&amp;PlayerID=203944&amp;TeamID=0&amp;GameID=&amp;ContextMeasure=TOV&amp;Season=2021-22&amp;SeasonType=Regular%20Season&amp;LeagueID=00&amp;PerMode=PerGame&amp;Scope=S&amp;StatCategory=PTS&amp;section=leaders" TargetMode="External"/><Relationship Id="rId333" Type="http://schemas.openxmlformats.org/officeDocument/2006/relationships/hyperlink" Target="https://www.nba.com/stats/events/?flag=1&amp;CFID=&amp;CFPARAMS=&amp;PlayerID=1629636&amp;TeamID=0&amp;GameID=&amp;ContextMeasure=AST&amp;Season=2021-22&amp;SeasonType=Regular%20Season&amp;LeagueID=00&amp;PerMode=PerGame&amp;Scope=S&amp;StatCategory=PTS&amp;section=leaders" TargetMode="External"/><Relationship Id="rId354" Type="http://schemas.openxmlformats.org/officeDocument/2006/relationships/hyperlink" Target="https://www.nba.com/stats/events/?flag=1&amp;CFID=&amp;CFPARAMS=&amp;PlayerID=1626174&amp;TeamID=0&amp;GameID=&amp;ContextMeasure=OREB&amp;Season=2021-22&amp;SeasonType=Regular%20Season&amp;LeagueID=00&amp;PerMode=PerGame&amp;Scope=S&amp;StatCategory=PTS&amp;section=leaders" TargetMode="External"/><Relationship Id="rId51" Type="http://schemas.openxmlformats.org/officeDocument/2006/relationships/hyperlink" Target="https://www.nba.com/stats/events/?flag=3&amp;CFID=&amp;CFPARAMS=&amp;PlayerID=201942&amp;TeamID=0&amp;GameID=&amp;ContextMeasure=FGA&amp;Season=2021-22&amp;SeasonType=Regular%20Season&amp;LeagueID=00&amp;PerMode=PerGame&amp;Scope=S&amp;StatCategory=PTS&amp;section=leaders" TargetMode="External"/><Relationship Id="rId72" Type="http://schemas.openxmlformats.org/officeDocument/2006/relationships/hyperlink" Target="https://www.nba.com/stats/events/?flag=1&amp;CFID=&amp;CFPARAMS=&amp;PlayerID=202331&amp;TeamID=0&amp;GameID=&amp;ContextMeasure=TOV&amp;Season=2021-22&amp;SeasonType=Regular%20Season&amp;LeagueID=00&amp;PerMode=PerGame&amp;Scope=S&amp;StatCategory=PTS&amp;section=leaders" TargetMode="External"/><Relationship Id="rId93" Type="http://schemas.openxmlformats.org/officeDocument/2006/relationships/hyperlink" Target="https://www.nba.com/stats/events/?flag=1&amp;CFID=&amp;CFPARAMS=&amp;PlayerID=1629029&amp;TeamID=0&amp;GameID=&amp;ContextMeasure=AST&amp;Season=2021-22&amp;SeasonType=Regular%20Season&amp;LeagueID=00&amp;PerMode=PerGame&amp;Scope=S&amp;StatCategory=PTS&amp;section=leaders" TargetMode="External"/><Relationship Id="rId189" Type="http://schemas.openxmlformats.org/officeDocument/2006/relationships/hyperlink" Target="https://www.nba.com/stats/events/?flag=1&amp;CFID=&amp;CFPARAMS=&amp;PlayerID=203078&amp;TeamID=0&amp;GameID=&amp;ContextMeasure=AST&amp;Season=2021-22&amp;SeasonType=Regular%20Season&amp;LeagueID=00&amp;PerMode=PerGame&amp;Scope=S&amp;StatCategory=PTS&amp;section=leaders" TargetMode="External"/><Relationship Id="rId375" Type="http://schemas.openxmlformats.org/officeDocument/2006/relationships/hyperlink" Target="https://www.nba.com/stats/events/?flag=3&amp;CFID=&amp;CFPARAMS=&amp;PlayerID=1628378&amp;TeamID=0&amp;GameID=&amp;ContextMeasure=FGA&amp;Season=2021-22&amp;SeasonType=Regular%20Season&amp;LeagueID=00&amp;PerMode=PerGame&amp;Scope=S&amp;StatCategory=PTS&amp;section=leaders" TargetMode="External"/><Relationship Id="rId3" Type="http://schemas.openxmlformats.org/officeDocument/2006/relationships/hyperlink" Target="https://www.nba.com/stats/events/?flag=3&amp;CFID=&amp;CFPARAMS=&amp;PlayerID=201142&amp;TeamID=0&amp;GameID=&amp;ContextMeasure=FGA&amp;Season=2021-22&amp;SeasonType=Regular%20Season&amp;LeagueID=00&amp;PerMode=PerGame&amp;Scope=S&amp;StatCategory=PTS&amp;section=leaders" TargetMode="External"/><Relationship Id="rId214" Type="http://schemas.openxmlformats.org/officeDocument/2006/relationships/hyperlink" Target="https://www.nba.com/stats/events/?flag=1&amp;CFID=&amp;CFPARAMS=&amp;PlayerID=203081&amp;TeamID=0&amp;GameID=&amp;ContextMeasure=STL&amp;Season=2021-22&amp;SeasonType=Regular%20Season&amp;LeagueID=00&amp;PerMode=PerGame&amp;Scope=S&amp;StatCategory=PTS&amp;section=leaders" TargetMode="External"/><Relationship Id="rId235" Type="http://schemas.openxmlformats.org/officeDocument/2006/relationships/hyperlink" Target="https://www.nba.com/stats/events/?flag=1&amp;CFID=&amp;CFPARAMS=&amp;PlayerID=1627763&amp;TeamID=0&amp;GameID=&amp;ContextMeasure=DREB&amp;Season=2021-22&amp;SeasonType=Regular%20Season&amp;LeagueID=00&amp;PerMode=PerGame&amp;Scope=S&amp;StatCategory=PTS&amp;section=leaders" TargetMode="External"/><Relationship Id="rId256" Type="http://schemas.openxmlformats.org/officeDocument/2006/relationships/hyperlink" Target="https://www.nba.com/stats/events/?flag=3&amp;CFID=&amp;CFPARAMS=&amp;PlayerID=1630163&amp;TeamID=0&amp;GameID=&amp;ContextMeasure=FG3M&amp;Season=2021-22&amp;SeasonType=Regular%20Season&amp;LeagueID=00&amp;PerMode=PerGame&amp;Scope=S&amp;StatCategory=PTS&amp;section=leaders" TargetMode="External"/><Relationship Id="rId277" Type="http://schemas.openxmlformats.org/officeDocument/2006/relationships/hyperlink" Target="https://www.nba.com/player/1627832/traditional/" TargetMode="External"/><Relationship Id="rId298" Type="http://schemas.openxmlformats.org/officeDocument/2006/relationships/hyperlink" Target="https://www.nba.com/stats/events/?flag=1&amp;CFID=&amp;CFPARAMS=&amp;PlayerID=203924&amp;TeamID=0&amp;GameID=&amp;ContextMeasure=STL&amp;Season=2021-22&amp;SeasonType=Regular%20Season&amp;LeagueID=00&amp;PerMode=PerGame&amp;Scope=S&amp;StatCategory=PTS&amp;section=leaders" TargetMode="External"/><Relationship Id="rId116" Type="http://schemas.openxmlformats.org/officeDocument/2006/relationships/hyperlink" Target="https://www.nba.com/stats/events/?flag=1&amp;CFID=&amp;CFPARAMS=&amp;PlayerID=203076&amp;TeamID=0&amp;GameID=&amp;ContextMeasure=REB&amp;Season=2021-22&amp;SeasonType=Regular%20Season&amp;LeagueID=00&amp;PerMode=PerGame&amp;Scope=S&amp;StatCategory=PTS&amp;section=leaders" TargetMode="External"/><Relationship Id="rId137" Type="http://schemas.openxmlformats.org/officeDocument/2006/relationships/hyperlink" Target="https://www.nba.com/stats/events/?flag=3&amp;CFID=&amp;CFPARAMS=&amp;PlayerID=1626157&amp;TeamID=0&amp;GameID=&amp;ContextMeasure=FG3A&amp;Season=2021-22&amp;SeasonType=Regular%20Season&amp;LeagueID=00&amp;PerMode=PerGame&amp;Scope=S&amp;StatCategory=PTS&amp;section=leaders" TargetMode="External"/><Relationship Id="rId158" Type="http://schemas.openxmlformats.org/officeDocument/2006/relationships/hyperlink" Target="https://www.nba.com/stats/events/?flag=3&amp;CFID=&amp;CFPARAMS=&amp;PlayerID=1626164&amp;TeamID=0&amp;GameID=&amp;ContextMeasure=FGM&amp;Season=2021-22&amp;SeasonType=Regular%20Season&amp;LeagueID=00&amp;PerMode=PerGame&amp;Scope=S&amp;StatCategory=PTS&amp;section=leaders" TargetMode="External"/><Relationship Id="rId302" Type="http://schemas.openxmlformats.org/officeDocument/2006/relationships/hyperlink" Target="https://www.nba.com/stats/events/?flag=3&amp;CFID=&amp;CFPARAMS=&amp;PlayerID=203944&amp;TeamID=0&amp;GameID=&amp;ContextMeasure=FGM&amp;Season=2021-22&amp;SeasonType=Regular%20Season&amp;LeagueID=00&amp;PerMode=PerGame&amp;Scope=S&amp;StatCategory=PTS&amp;section=leaders" TargetMode="External"/><Relationship Id="rId323" Type="http://schemas.openxmlformats.org/officeDocument/2006/relationships/hyperlink" Target="https://www.nba.com/stats/events/?flag=1&amp;CFID=&amp;CFPARAMS=&amp;PlayerID=1627749&amp;TeamID=0&amp;GameID=&amp;ContextMeasure=BLK&amp;Season=2021-22&amp;SeasonType=Regular%20Season&amp;LeagueID=00&amp;PerMode=PerGame&amp;Scope=S&amp;StatCategory=PTS&amp;section=leaders" TargetMode="External"/><Relationship Id="rId344" Type="http://schemas.openxmlformats.org/officeDocument/2006/relationships/hyperlink" Target="https://www.nba.com/stats/events/?flag=1&amp;CFID=&amp;CFPARAMS=&amp;PlayerID=1630178&amp;TeamID=0&amp;GameID=&amp;ContextMeasure=REB&amp;Season=2021-22&amp;SeasonType=Regular%20Season&amp;LeagueID=00&amp;PerMode=PerGame&amp;Scope=S&amp;StatCategory=PTS&amp;section=leaders" TargetMode="External"/><Relationship Id="rId20" Type="http://schemas.openxmlformats.org/officeDocument/2006/relationships/hyperlink" Target="https://www.nba.com/stats/events/?flag=1&amp;CFID=&amp;CFPARAMS=&amp;PlayerID=201939&amp;TeamID=0&amp;GameID=&amp;ContextMeasure=REB&amp;Season=2021-22&amp;SeasonType=Regular%20Season&amp;LeagueID=00&amp;PerMode=PerGame&amp;Scope=S&amp;StatCategory=PTS&amp;section=leaders" TargetMode="External"/><Relationship Id="rId41" Type="http://schemas.openxmlformats.org/officeDocument/2006/relationships/hyperlink" Target="https://www.nba.com/stats/events/?flag=3&amp;CFID=&amp;CFPARAMS=&amp;PlayerID=1629027&amp;TeamID=0&amp;GameID=&amp;ContextMeasure=FG3A&amp;Season=2021-22&amp;SeasonType=Regular%20Season&amp;LeagueID=00&amp;PerMode=PerGame&amp;Scope=S&amp;StatCategory=PTS&amp;section=leaders" TargetMode="External"/><Relationship Id="rId62" Type="http://schemas.openxmlformats.org/officeDocument/2006/relationships/hyperlink" Target="https://www.nba.com/stats/events/?flag=3&amp;CFID=&amp;CFPARAMS=&amp;PlayerID=202331&amp;TeamID=0&amp;GameID=&amp;ContextMeasure=FGM&amp;Season=2021-22&amp;SeasonType=Regular%20Season&amp;LeagueID=00&amp;PerMode=PerGame&amp;Scope=S&amp;StatCategory=PTS&amp;section=leaders" TargetMode="External"/><Relationship Id="rId83" Type="http://schemas.openxmlformats.org/officeDocument/2006/relationships/hyperlink" Target="https://www.nba.com/stats/events/?flag=1&amp;CFID=&amp;CFPARAMS=&amp;PlayerID=203999&amp;TeamID=0&amp;GameID=&amp;ContextMeasure=BLK&amp;Season=2021-22&amp;SeasonType=Regular%20Season&amp;LeagueID=00&amp;PerMode=PerGame&amp;Scope=S&amp;StatCategory=PTS&amp;section=leaders" TargetMode="External"/><Relationship Id="rId179" Type="http://schemas.openxmlformats.org/officeDocument/2006/relationships/hyperlink" Target="https://www.nba.com/stats/events/?flag=1&amp;CFID=&amp;CFPARAMS=&amp;PlayerID=1628378&amp;TeamID=0&amp;GameID=&amp;ContextMeasure=BLK&amp;Season=2021-22&amp;SeasonType=Regular%20Season&amp;LeagueID=00&amp;PerMode=PerGame&amp;Scope=S&amp;StatCategory=PTS&amp;section=leaders" TargetMode="External"/><Relationship Id="rId365" Type="http://schemas.openxmlformats.org/officeDocument/2006/relationships/hyperlink" Target="https://www.nba.com/stats/events/?flag=3&amp;CFID=&amp;CFPARAMS=&amp;PlayerID=201942&amp;TeamID=0&amp;GameID=&amp;ContextMeasure=FGA&amp;Season=2021-22&amp;SeasonType=Regular%20Season&amp;LeagueID=00&amp;PerMode=PerGame&amp;Scope=S&amp;StatCategory=PTS&amp;section=leaders" TargetMode="External"/><Relationship Id="rId386" Type="http://schemas.openxmlformats.org/officeDocument/2006/relationships/hyperlink" Target="https://www.nba.com/stats/events/?flag=3&amp;CFID=&amp;CFPARAMS=&amp;PlayerID=203944&amp;TeamID=0&amp;GameID=&amp;ContextMeasure=FGA&amp;Season=2021-22&amp;SeasonType=Regular%20Season&amp;LeagueID=00&amp;PerMode=PerGame&amp;Scope=S&amp;StatCategory=PTS&amp;section=leaders" TargetMode="External"/><Relationship Id="rId190" Type="http://schemas.openxmlformats.org/officeDocument/2006/relationships/hyperlink" Target="https://www.nba.com/stats/events/?flag=1&amp;CFID=&amp;CFPARAMS=&amp;PlayerID=203078&amp;TeamID=0&amp;GameID=&amp;ContextMeasure=STL&amp;Season=2021-22&amp;SeasonType=Regular%20Season&amp;LeagueID=00&amp;PerMode=PerGame&amp;Scope=S&amp;StatCategory=PTS&amp;section=leaders" TargetMode="External"/><Relationship Id="rId204" Type="http://schemas.openxmlformats.org/officeDocument/2006/relationships/hyperlink" Target="https://www.nba.com/stats/events/?flag=1&amp;CFID=&amp;CFPARAMS=&amp;PlayerID=1627742&amp;TeamID=0&amp;GameID=&amp;ContextMeasure=TOV&amp;Season=2021-22&amp;SeasonType=Regular%20Season&amp;LeagueID=00&amp;PerMode=PerGame&amp;Scope=S&amp;StatCategory=PTS&amp;section=leaders" TargetMode="External"/><Relationship Id="rId225" Type="http://schemas.openxmlformats.org/officeDocument/2006/relationships/hyperlink" Target="https://www.nba.com/stats/events/?flag=1&amp;CFID=&amp;CFPARAMS=&amp;PlayerID=1628983&amp;TeamID=0&amp;GameID=&amp;ContextMeasure=AST&amp;Season=2021-22&amp;SeasonType=Regular%20Season&amp;LeagueID=00&amp;PerMode=PerGame&amp;Scope=S&amp;StatCategory=PTS&amp;section=leaders" TargetMode="External"/><Relationship Id="rId246" Type="http://schemas.openxmlformats.org/officeDocument/2006/relationships/hyperlink" Target="https://www.nba.com/stats/events/?flag=1&amp;CFID=&amp;CFPARAMS=&amp;PlayerID=1628368&amp;TeamID=0&amp;GameID=&amp;ContextMeasure=OREB&amp;Season=2021-22&amp;SeasonType=Regular%20Season&amp;LeagueID=00&amp;PerMode=PerGame&amp;Scope=S&amp;StatCategory=PTS&amp;section=leaders" TargetMode="External"/><Relationship Id="rId267" Type="http://schemas.openxmlformats.org/officeDocument/2006/relationships/hyperlink" Target="https://www.nba.com/stats/events/?flag=3&amp;CFID=&amp;CFPARAMS=&amp;PlayerID=1630175&amp;TeamID=0&amp;GameID=&amp;ContextMeasure=FGA&amp;Season=2021-22&amp;SeasonType=Regular%20Season&amp;LeagueID=00&amp;PerMode=PerGame&amp;Scope=S&amp;StatCategory=PTS&amp;section=leaders" TargetMode="External"/><Relationship Id="rId288" Type="http://schemas.openxmlformats.org/officeDocument/2006/relationships/hyperlink" Target="https://www.nba.com/stats/events/?flag=1&amp;CFID=&amp;CFPARAMS=&amp;PlayerID=1627832&amp;TeamID=0&amp;GameID=&amp;ContextMeasure=TOV&amp;Season=2021-22&amp;SeasonType=Regular%20Season&amp;LeagueID=00&amp;PerMode=PerGame&amp;Scope=S&amp;StatCategory=PTS&amp;section=leaders" TargetMode="External"/><Relationship Id="rId106" Type="http://schemas.openxmlformats.org/officeDocument/2006/relationships/hyperlink" Target="https://www.nba.com/stats/events/?flag=1&amp;CFID=&amp;CFPARAMS=&amp;PlayerID=1628369&amp;TeamID=0&amp;GameID=&amp;ContextMeasure=STL&amp;Season=2021-22&amp;SeasonType=Regular%20Season&amp;LeagueID=00&amp;PerMode=PerGame&amp;Scope=S&amp;StatCategory=PTS&amp;section=leaders" TargetMode="External"/><Relationship Id="rId127" Type="http://schemas.openxmlformats.org/officeDocument/2006/relationships/hyperlink" Target="https://www.nba.com/stats/events/?flag=1&amp;CFID=&amp;CFPARAMS=&amp;PlayerID=1629630&amp;TeamID=0&amp;GameID=&amp;ContextMeasure=DREB&amp;Season=2021-22&amp;SeasonType=Regular%20Season&amp;LeagueID=00&amp;PerMode=PerGame&amp;Scope=S&amp;StatCategory=PTS&amp;section=leaders" TargetMode="External"/><Relationship Id="rId313" Type="http://schemas.openxmlformats.org/officeDocument/2006/relationships/hyperlink" Target="https://www.nba.com/player/1627749/traditional/" TargetMode="External"/><Relationship Id="rId10" Type="http://schemas.openxmlformats.org/officeDocument/2006/relationships/hyperlink" Target="https://www.nba.com/stats/events/?flag=1&amp;CFID=&amp;CFPARAMS=&amp;PlayerID=201142&amp;TeamID=0&amp;GameID=&amp;ContextMeasure=STL&amp;Season=2021-22&amp;SeasonType=Regular%20Season&amp;LeagueID=00&amp;PerMode=PerGame&amp;Scope=S&amp;StatCategory=PTS&amp;section=leaders" TargetMode="External"/><Relationship Id="rId31" Type="http://schemas.openxmlformats.org/officeDocument/2006/relationships/hyperlink" Target="https://www.nba.com/stats/events/?flag=1&amp;CFID=&amp;CFPARAMS=&amp;PlayerID=203507&amp;TeamID=0&amp;GameID=&amp;ContextMeasure=DREB&amp;Season=2021-22&amp;SeasonType=Regular%20Season&amp;LeagueID=00&amp;PerMode=PerGame&amp;Scope=S&amp;StatCategory=PTS&amp;section=leaders" TargetMode="External"/><Relationship Id="rId52" Type="http://schemas.openxmlformats.org/officeDocument/2006/relationships/hyperlink" Target="https://www.nba.com/stats/events/?flag=3&amp;CFID=&amp;CFPARAMS=&amp;PlayerID=201942&amp;TeamID=0&amp;GameID=&amp;ContextMeasure=FG3M&amp;Season=2021-22&amp;SeasonType=Regular%20Season&amp;LeagueID=00&amp;PerMode=PerGame&amp;Scope=S&amp;StatCategory=PTS&amp;section=leaders" TargetMode="External"/><Relationship Id="rId73" Type="http://schemas.openxmlformats.org/officeDocument/2006/relationships/hyperlink" Target="https://www.nba.com/player/203999/traditional/" TargetMode="External"/><Relationship Id="rId94" Type="http://schemas.openxmlformats.org/officeDocument/2006/relationships/hyperlink" Target="https://www.nba.com/stats/events/?flag=1&amp;CFID=&amp;CFPARAMS=&amp;PlayerID=1629029&amp;TeamID=0&amp;GameID=&amp;ContextMeasure=STL&amp;Season=2021-22&amp;SeasonType=Regular%20Season&amp;LeagueID=00&amp;PerMode=PerGame&amp;Scope=S&amp;StatCategory=PTS&amp;section=leaders" TargetMode="External"/><Relationship Id="rId148" Type="http://schemas.openxmlformats.org/officeDocument/2006/relationships/hyperlink" Target="https://www.nba.com/stats/events/?flag=3&amp;CFID=&amp;CFPARAMS=&amp;PlayerID=202710&amp;TeamID=0&amp;GameID=&amp;ContextMeasure=FG3M&amp;Season=2021-22&amp;SeasonType=Regular%20Season&amp;LeagueID=00&amp;PerMode=PerGame&amp;Scope=S&amp;StatCategory=PTS&amp;section=leaders" TargetMode="External"/><Relationship Id="rId169" Type="http://schemas.openxmlformats.org/officeDocument/2006/relationships/hyperlink" Target="https://www.nba.com/player/1628378/traditional/" TargetMode="External"/><Relationship Id="rId334" Type="http://schemas.openxmlformats.org/officeDocument/2006/relationships/hyperlink" Target="https://www.nba.com/stats/events/?flag=1&amp;CFID=&amp;CFPARAMS=&amp;PlayerID=1629636&amp;TeamID=0&amp;GameID=&amp;ContextMeasure=STL&amp;Season=2021-22&amp;SeasonType=Regular%20Season&amp;LeagueID=00&amp;PerMode=PerGame&amp;Scope=S&amp;StatCategory=PTS&amp;section=leaders" TargetMode="External"/><Relationship Id="rId355" Type="http://schemas.openxmlformats.org/officeDocument/2006/relationships/hyperlink" Target="https://www.nba.com/stats/events/?flag=1&amp;CFID=&amp;CFPARAMS=&amp;PlayerID=1626174&amp;TeamID=0&amp;GameID=&amp;ContextMeasure=DREB&amp;Season=2021-22&amp;SeasonType=Regular%20Season&amp;LeagueID=00&amp;PerMode=PerGame&amp;Scope=S&amp;StatCategory=PTS&amp;section=leaders" TargetMode="External"/><Relationship Id="rId376" Type="http://schemas.openxmlformats.org/officeDocument/2006/relationships/hyperlink" Target="https://www.nba.com/stats/events/?flag=3&amp;CFID=&amp;CFPARAMS=&amp;PlayerID=203078&amp;TeamID=0&amp;GameID=&amp;ContextMeasure=FGA&amp;Season=2021-22&amp;SeasonType=Regular%20Season&amp;LeagueID=00&amp;PerMode=PerGame&amp;Scope=S&amp;StatCategory=PTS&amp;section=leaders" TargetMode="External"/><Relationship Id="rId4" Type="http://schemas.openxmlformats.org/officeDocument/2006/relationships/hyperlink" Target="https://www.nba.com/stats/events/?flag=3&amp;CFID=&amp;CFPARAMS=&amp;PlayerID=201142&amp;TeamID=0&amp;GameID=&amp;ContextMeasure=FG3M&amp;Season=2021-22&amp;SeasonType=Regular%20Season&amp;LeagueID=00&amp;PerMode=PerGame&amp;Scope=S&amp;StatCategory=PTS&amp;section=leaders" TargetMode="External"/><Relationship Id="rId180" Type="http://schemas.openxmlformats.org/officeDocument/2006/relationships/hyperlink" Target="https://www.nba.com/stats/events/?flag=1&amp;CFID=&amp;CFPARAMS=&amp;PlayerID=1628378&amp;TeamID=0&amp;GameID=&amp;ContextMeasure=TOV&amp;Season=2021-22&amp;SeasonType=Regular%20Season&amp;LeagueID=00&amp;PerMode=PerGame&amp;Scope=S&amp;StatCategory=PTS&amp;section=leaders" TargetMode="External"/><Relationship Id="rId215" Type="http://schemas.openxmlformats.org/officeDocument/2006/relationships/hyperlink" Target="https://www.nba.com/stats/events/?flag=1&amp;CFID=&amp;CFPARAMS=&amp;PlayerID=203081&amp;TeamID=0&amp;GameID=&amp;ContextMeasure=BLK&amp;Season=2021-22&amp;SeasonType=Regular%20Season&amp;LeagueID=00&amp;PerMode=PerGame&amp;Scope=S&amp;StatCategory=PTS&amp;section=leaders" TargetMode="External"/><Relationship Id="rId236" Type="http://schemas.openxmlformats.org/officeDocument/2006/relationships/hyperlink" Target="https://www.nba.com/stats/events/?flag=1&amp;CFID=&amp;CFPARAMS=&amp;PlayerID=1627763&amp;TeamID=0&amp;GameID=&amp;ContextMeasure=REB&amp;Season=2021-22&amp;SeasonType=Regular%20Season&amp;LeagueID=00&amp;PerMode=PerGame&amp;Scope=S&amp;StatCategory=PTS&amp;section=leaders" TargetMode="External"/><Relationship Id="rId257" Type="http://schemas.openxmlformats.org/officeDocument/2006/relationships/hyperlink" Target="https://www.nba.com/stats/events/?flag=3&amp;CFID=&amp;CFPARAMS=&amp;PlayerID=1630163&amp;TeamID=0&amp;GameID=&amp;ContextMeasure=FG3A&amp;Season=2021-22&amp;SeasonType=Regular%20Season&amp;LeagueID=00&amp;PerMode=PerGame&amp;Scope=S&amp;StatCategory=PTS&amp;section=leaders" TargetMode="External"/><Relationship Id="rId278" Type="http://schemas.openxmlformats.org/officeDocument/2006/relationships/hyperlink" Target="https://www.nba.com/stats/events/?flag=3&amp;CFID=&amp;CFPARAMS=&amp;PlayerID=1627832&amp;TeamID=0&amp;GameID=&amp;ContextMeasure=FGM&amp;Season=2021-22&amp;SeasonType=Regular%20Season&amp;LeagueID=00&amp;PerMode=PerGame&amp;Scope=S&amp;StatCategory=PTS&amp;section=leaders" TargetMode="External"/><Relationship Id="rId303" Type="http://schemas.openxmlformats.org/officeDocument/2006/relationships/hyperlink" Target="https://www.nba.com/stats/events/?flag=3&amp;CFID=&amp;CFPARAMS=&amp;PlayerID=203944&amp;TeamID=0&amp;GameID=&amp;ContextMeasure=FGA&amp;Season=2021-22&amp;SeasonType=Regular%20Season&amp;LeagueID=00&amp;PerMode=PerGame&amp;Scope=S&amp;StatCategory=PTS&amp;section=leaders" TargetMode="External"/><Relationship Id="rId42" Type="http://schemas.openxmlformats.org/officeDocument/2006/relationships/hyperlink" Target="https://www.nba.com/stats/events/?flag=1&amp;CFID=&amp;CFPARAMS=&amp;PlayerID=1629027&amp;TeamID=0&amp;GameID=&amp;ContextMeasure=OREB&amp;Season=2021-22&amp;SeasonType=Regular%20Season&amp;LeagueID=00&amp;PerMode=PerGame&amp;Scope=S&amp;StatCategory=PTS&amp;section=leaders" TargetMode="External"/><Relationship Id="rId84" Type="http://schemas.openxmlformats.org/officeDocument/2006/relationships/hyperlink" Target="https://www.nba.com/stats/events/?flag=1&amp;CFID=&amp;CFPARAMS=&amp;PlayerID=203999&amp;TeamID=0&amp;GameID=&amp;ContextMeasure=TOV&amp;Season=2021-22&amp;SeasonType=Regular%20Season&amp;LeagueID=00&amp;PerMode=PerGame&amp;Scope=S&amp;StatCategory=PTS&amp;section=leaders" TargetMode="External"/><Relationship Id="rId138" Type="http://schemas.openxmlformats.org/officeDocument/2006/relationships/hyperlink" Target="https://www.nba.com/stats/events/?flag=1&amp;CFID=&amp;CFPARAMS=&amp;PlayerID=1626157&amp;TeamID=0&amp;GameID=&amp;ContextMeasure=OREB&amp;Season=2021-22&amp;SeasonType=Regular%20Season&amp;LeagueID=00&amp;PerMode=PerGame&amp;Scope=S&amp;StatCategory=PTS&amp;section=leaders" TargetMode="External"/><Relationship Id="rId345" Type="http://schemas.openxmlformats.org/officeDocument/2006/relationships/hyperlink" Target="https://www.nba.com/stats/events/?flag=1&amp;CFID=&amp;CFPARAMS=&amp;PlayerID=1630178&amp;TeamID=0&amp;GameID=&amp;ContextMeasure=AST&amp;Season=2021-22&amp;SeasonType=Regular%20Season&amp;LeagueID=00&amp;PerMode=PerGame&amp;Scope=S&amp;StatCategory=PTS&amp;section=leaders" TargetMode="External"/><Relationship Id="rId387" Type="http://schemas.openxmlformats.org/officeDocument/2006/relationships/hyperlink" Target="https://www.nba.com/stats/events/?flag=3&amp;CFID=&amp;CFPARAMS=&amp;PlayerID=1627749&amp;TeamID=0&amp;GameID=&amp;ContextMeasure=FGA&amp;Season=2021-22&amp;SeasonType=Regular%20Season&amp;LeagueID=00&amp;PerMode=PerGame&amp;Scope=S&amp;StatCategory=PTS&amp;section=leaders" TargetMode="External"/><Relationship Id="rId191" Type="http://schemas.openxmlformats.org/officeDocument/2006/relationships/hyperlink" Target="https://www.nba.com/stats/events/?flag=1&amp;CFID=&amp;CFPARAMS=&amp;PlayerID=203078&amp;TeamID=0&amp;GameID=&amp;ContextMeasure=BLK&amp;Season=2021-22&amp;SeasonType=Regular%20Season&amp;LeagueID=00&amp;PerMode=PerGame&amp;Scope=S&amp;StatCategory=PTS&amp;section=leaders" TargetMode="External"/><Relationship Id="rId205" Type="http://schemas.openxmlformats.org/officeDocument/2006/relationships/hyperlink" Target="https://www.nba.com/player/203081/traditional/" TargetMode="External"/><Relationship Id="rId247" Type="http://schemas.openxmlformats.org/officeDocument/2006/relationships/hyperlink" Target="https://www.nba.com/stats/events/?flag=1&amp;CFID=&amp;CFPARAMS=&amp;PlayerID=1628368&amp;TeamID=0&amp;GameID=&amp;ContextMeasure=DREB&amp;Season=2021-22&amp;SeasonType=Regular%20Season&amp;LeagueID=00&amp;PerMode=PerGame&amp;Scope=S&amp;StatCategory=PTS&amp;section=leaders" TargetMode="External"/><Relationship Id="rId107" Type="http://schemas.openxmlformats.org/officeDocument/2006/relationships/hyperlink" Target="https://www.nba.com/stats/events/?flag=1&amp;CFID=&amp;CFPARAMS=&amp;PlayerID=1628369&amp;TeamID=0&amp;GameID=&amp;ContextMeasure=BLK&amp;Season=2021-22&amp;SeasonType=Regular%20Season&amp;LeagueID=00&amp;PerMode=PerGame&amp;Scope=S&amp;StatCategory=PTS&amp;section=leaders" TargetMode="External"/><Relationship Id="rId289" Type="http://schemas.openxmlformats.org/officeDocument/2006/relationships/hyperlink" Target="https://www.nba.com/player/203924/traditional/" TargetMode="External"/><Relationship Id="rId11" Type="http://schemas.openxmlformats.org/officeDocument/2006/relationships/hyperlink" Target="https://www.nba.com/stats/events/?flag=1&amp;CFID=&amp;CFPARAMS=&amp;PlayerID=201142&amp;TeamID=0&amp;GameID=&amp;ContextMeasure=BLK&amp;Season=2021-22&amp;SeasonType=Regular%20Season&amp;LeagueID=00&amp;PerMode=PerGame&amp;Scope=S&amp;StatCategory=PTS&amp;section=leaders" TargetMode="External"/><Relationship Id="rId53" Type="http://schemas.openxmlformats.org/officeDocument/2006/relationships/hyperlink" Target="https://www.nba.com/stats/events/?flag=3&amp;CFID=&amp;CFPARAMS=&amp;PlayerID=201942&amp;TeamID=0&amp;GameID=&amp;ContextMeasure=FG3A&amp;Season=2021-22&amp;SeasonType=Regular%20Season&amp;LeagueID=00&amp;PerMode=PerGame&amp;Scope=S&amp;StatCategory=PTS&amp;section=leaders" TargetMode="External"/><Relationship Id="rId149" Type="http://schemas.openxmlformats.org/officeDocument/2006/relationships/hyperlink" Target="https://www.nba.com/stats/events/?flag=3&amp;CFID=&amp;CFPARAMS=&amp;PlayerID=202710&amp;TeamID=0&amp;GameID=&amp;ContextMeasure=FG3A&amp;Season=2021-22&amp;SeasonType=Regular%20Season&amp;LeagueID=00&amp;PerMode=PerGame&amp;Scope=S&amp;StatCategory=PTS&amp;section=leaders" TargetMode="External"/><Relationship Id="rId314" Type="http://schemas.openxmlformats.org/officeDocument/2006/relationships/hyperlink" Target="https://www.nba.com/stats/events/?flag=3&amp;CFID=&amp;CFPARAMS=&amp;PlayerID=1627749&amp;TeamID=0&amp;GameID=&amp;ContextMeasure=FGM&amp;Season=2021-22&amp;SeasonType=Regular%20Season&amp;LeagueID=00&amp;PerMode=PerGame&amp;Scope=S&amp;StatCategory=PTS&amp;section=leaders" TargetMode="External"/><Relationship Id="rId356" Type="http://schemas.openxmlformats.org/officeDocument/2006/relationships/hyperlink" Target="https://www.nba.com/stats/events/?flag=1&amp;CFID=&amp;CFPARAMS=&amp;PlayerID=1626174&amp;TeamID=0&amp;GameID=&amp;ContextMeasure=REB&amp;Season=2021-22&amp;SeasonType=Regular%20Season&amp;LeagueID=00&amp;PerMode=PerGame&amp;Scope=S&amp;StatCategory=PTS&amp;section=leaders" TargetMode="External"/><Relationship Id="rId95" Type="http://schemas.openxmlformats.org/officeDocument/2006/relationships/hyperlink" Target="https://www.nba.com/stats/events/?flag=1&amp;CFID=&amp;CFPARAMS=&amp;PlayerID=1629029&amp;TeamID=0&amp;GameID=&amp;ContextMeasure=BLK&amp;Season=2021-22&amp;SeasonType=Regular%20Season&amp;LeagueID=00&amp;PerMode=PerGame&amp;Scope=S&amp;StatCategory=PTS&amp;section=leaders" TargetMode="External"/><Relationship Id="rId160" Type="http://schemas.openxmlformats.org/officeDocument/2006/relationships/hyperlink" Target="https://www.nba.com/stats/events/?flag=3&amp;CFID=&amp;CFPARAMS=&amp;PlayerID=1626164&amp;TeamID=0&amp;GameID=&amp;ContextMeasure=FG3M&amp;Season=2021-22&amp;SeasonType=Regular%20Season&amp;LeagueID=00&amp;PerMode=PerGame&amp;Scope=S&amp;StatCategory=PTS&amp;section=leaders" TargetMode="External"/><Relationship Id="rId216" Type="http://schemas.openxmlformats.org/officeDocument/2006/relationships/hyperlink" Target="https://www.nba.com/stats/events/?flag=1&amp;CFID=&amp;CFPARAMS=&amp;PlayerID=203081&amp;TeamID=0&amp;GameID=&amp;ContextMeasure=TOV&amp;Season=2021-22&amp;SeasonType=Regular%20Season&amp;LeagueID=00&amp;PerMode=PerGame&amp;Scope=S&amp;StatCategory=PTS&amp;section=leaders" TargetMode="External"/><Relationship Id="rId258" Type="http://schemas.openxmlformats.org/officeDocument/2006/relationships/hyperlink" Target="https://www.nba.com/stats/events/?flag=1&amp;CFID=&amp;CFPARAMS=&amp;PlayerID=1630163&amp;TeamID=0&amp;GameID=&amp;ContextMeasure=OREB&amp;Season=2021-22&amp;SeasonType=Regular%20Season&amp;LeagueID=00&amp;PerMode=PerGame&amp;Scope=S&amp;StatCategory=PTS&amp;section=leaders" TargetMode="External"/><Relationship Id="rId22" Type="http://schemas.openxmlformats.org/officeDocument/2006/relationships/hyperlink" Target="https://www.nba.com/stats/events/?flag=1&amp;CFID=&amp;CFPARAMS=&amp;PlayerID=201939&amp;TeamID=0&amp;GameID=&amp;ContextMeasure=STL&amp;Season=2021-22&amp;SeasonType=Regular%20Season&amp;LeagueID=00&amp;PerMode=PerGame&amp;Scope=S&amp;StatCategory=PTS&amp;section=leaders" TargetMode="External"/><Relationship Id="rId64" Type="http://schemas.openxmlformats.org/officeDocument/2006/relationships/hyperlink" Target="https://www.nba.com/stats/events/?flag=3&amp;CFID=&amp;CFPARAMS=&amp;PlayerID=202331&amp;TeamID=0&amp;GameID=&amp;ContextMeasure=FG3M&amp;Season=2021-22&amp;SeasonType=Regular%20Season&amp;LeagueID=00&amp;PerMode=PerGame&amp;Scope=S&amp;StatCategory=PTS&amp;section=leaders" TargetMode="External"/><Relationship Id="rId118" Type="http://schemas.openxmlformats.org/officeDocument/2006/relationships/hyperlink" Target="https://www.nba.com/stats/events/?flag=1&amp;CFID=&amp;CFPARAMS=&amp;PlayerID=203076&amp;TeamID=0&amp;GameID=&amp;ContextMeasure=STL&amp;Season=2021-22&amp;SeasonType=Regular%20Season&amp;LeagueID=00&amp;PerMode=PerGame&amp;Scope=S&amp;StatCategory=PTS&amp;section=leaders" TargetMode="External"/><Relationship Id="rId325" Type="http://schemas.openxmlformats.org/officeDocument/2006/relationships/hyperlink" Target="https://www.nba.com/player/1629636/traditional/" TargetMode="External"/><Relationship Id="rId367" Type="http://schemas.openxmlformats.org/officeDocument/2006/relationships/hyperlink" Target="https://www.nba.com/stats/events/?flag=3&amp;CFID=&amp;CFPARAMS=&amp;PlayerID=203999&amp;TeamID=0&amp;GameID=&amp;ContextMeasure=FGA&amp;Season=2021-22&amp;SeasonType=Regular%20Season&amp;LeagueID=00&amp;PerMode=PerGame&amp;Scope=S&amp;StatCategory=PTS&amp;section=leaders" TargetMode="External"/><Relationship Id="rId171" Type="http://schemas.openxmlformats.org/officeDocument/2006/relationships/hyperlink" Target="https://www.nba.com/stats/events/?flag=3&amp;CFID=&amp;CFPARAMS=&amp;PlayerID=1628378&amp;TeamID=0&amp;GameID=&amp;ContextMeasure=FGA&amp;Season=2021-22&amp;SeasonType=Regular%20Season&amp;LeagueID=00&amp;PerMode=PerGame&amp;Scope=S&amp;StatCategory=PTS&amp;section=leaders" TargetMode="External"/><Relationship Id="rId227" Type="http://schemas.openxmlformats.org/officeDocument/2006/relationships/hyperlink" Target="https://www.nba.com/stats/events/?flag=1&amp;CFID=&amp;CFPARAMS=&amp;PlayerID=1628983&amp;TeamID=0&amp;GameID=&amp;ContextMeasure=BLK&amp;Season=2021-22&amp;SeasonType=Regular%20Season&amp;LeagueID=00&amp;PerMode=PerGame&amp;Scope=S&amp;StatCategory=PTS&amp;section=leaders" TargetMode="External"/><Relationship Id="rId269" Type="http://schemas.openxmlformats.org/officeDocument/2006/relationships/hyperlink" Target="https://www.nba.com/stats/events/?flag=3&amp;CFID=&amp;CFPARAMS=&amp;PlayerID=1630175&amp;TeamID=0&amp;GameID=&amp;ContextMeasure=FG3A&amp;Season=2021-22&amp;SeasonType=Regular%20Season&amp;LeagueID=00&amp;PerMode=PerGame&amp;Scope=S&amp;StatCategory=PTS&amp;section=leaders" TargetMode="External"/><Relationship Id="rId33" Type="http://schemas.openxmlformats.org/officeDocument/2006/relationships/hyperlink" Target="https://www.nba.com/stats/events/?flag=1&amp;CFID=&amp;CFPARAMS=&amp;PlayerID=203507&amp;TeamID=0&amp;GameID=&amp;ContextMeasure=AST&amp;Season=2021-22&amp;SeasonType=Regular%20Season&amp;LeagueID=00&amp;PerMode=PerGame&amp;Scope=S&amp;StatCategory=PTS&amp;section=leaders" TargetMode="External"/><Relationship Id="rId129" Type="http://schemas.openxmlformats.org/officeDocument/2006/relationships/hyperlink" Target="https://www.nba.com/stats/events/?flag=1&amp;CFID=&amp;CFPARAMS=&amp;PlayerID=1629630&amp;TeamID=0&amp;GameID=&amp;ContextMeasure=AST&amp;Season=2021-22&amp;SeasonType=Regular%20Season&amp;LeagueID=00&amp;PerMode=PerGame&amp;Scope=S&amp;StatCategory=PTS&amp;section=leaders" TargetMode="External"/><Relationship Id="rId280" Type="http://schemas.openxmlformats.org/officeDocument/2006/relationships/hyperlink" Target="https://www.nba.com/stats/events/?flag=3&amp;CFID=&amp;CFPARAMS=&amp;PlayerID=1627832&amp;TeamID=0&amp;GameID=&amp;ContextMeasure=FG3M&amp;Season=2021-22&amp;SeasonType=Regular%20Season&amp;LeagueID=00&amp;PerMode=PerGame&amp;Scope=S&amp;StatCategory=PTS&amp;section=leaders" TargetMode="External"/><Relationship Id="rId336" Type="http://schemas.openxmlformats.org/officeDocument/2006/relationships/hyperlink" Target="https://www.nba.com/stats/events/?flag=1&amp;CFID=&amp;CFPARAMS=&amp;PlayerID=1629636&amp;TeamID=0&amp;GameID=&amp;ContextMeasure=TOV&amp;Season=2021-22&amp;SeasonType=Regular%20Season&amp;LeagueID=00&amp;PerMode=PerGame&amp;Scope=S&amp;StatCategory=PTS&amp;section=leaders" TargetMode="External"/><Relationship Id="rId75" Type="http://schemas.openxmlformats.org/officeDocument/2006/relationships/hyperlink" Target="https://www.nba.com/stats/events/?flag=3&amp;CFID=&amp;CFPARAMS=&amp;PlayerID=203999&amp;TeamID=0&amp;GameID=&amp;ContextMeasure=FGA&amp;Season=2021-22&amp;SeasonType=Regular%20Season&amp;LeagueID=00&amp;PerMode=PerGame&amp;Scope=S&amp;StatCategory=PTS&amp;section=leaders" TargetMode="External"/><Relationship Id="rId140" Type="http://schemas.openxmlformats.org/officeDocument/2006/relationships/hyperlink" Target="https://www.nba.com/stats/events/?flag=1&amp;CFID=&amp;CFPARAMS=&amp;PlayerID=1626157&amp;TeamID=0&amp;GameID=&amp;ContextMeasure=REB&amp;Season=2021-22&amp;SeasonType=Regular%20Season&amp;LeagueID=00&amp;PerMode=PerGame&amp;Scope=S&amp;StatCategory=PTS&amp;section=leaders" TargetMode="External"/><Relationship Id="rId182" Type="http://schemas.openxmlformats.org/officeDocument/2006/relationships/hyperlink" Target="https://www.nba.com/stats/events/?flag=3&amp;CFID=&amp;CFPARAMS=&amp;PlayerID=203078&amp;TeamID=0&amp;GameID=&amp;ContextMeasure=FGM&amp;Season=2021-22&amp;SeasonType=Regular%20Season&amp;LeagueID=00&amp;PerMode=PerGame&amp;Scope=S&amp;StatCategory=PTS&amp;section=leaders" TargetMode="External"/><Relationship Id="rId378" Type="http://schemas.openxmlformats.org/officeDocument/2006/relationships/hyperlink" Target="https://www.nba.com/stats/events/?flag=3&amp;CFID=&amp;CFPARAMS=&amp;PlayerID=203081&amp;TeamID=0&amp;GameID=&amp;ContextMeasure=FGA&amp;Season=2021-22&amp;SeasonType=Regular%20Season&amp;LeagueID=00&amp;PerMode=PerGame&amp;Scope=S&amp;StatCategory=PTS&amp;section=leaders" TargetMode="External"/><Relationship Id="rId6" Type="http://schemas.openxmlformats.org/officeDocument/2006/relationships/hyperlink" Target="https://www.nba.com/stats/events/?flag=1&amp;CFID=&amp;CFPARAMS=&amp;PlayerID=201142&amp;TeamID=0&amp;GameID=&amp;ContextMeasure=OREB&amp;Season=2021-22&amp;SeasonType=Regular%20Season&amp;LeagueID=00&amp;PerMode=PerGame&amp;Scope=S&amp;StatCategory=PTS&amp;section=leaders" TargetMode="External"/><Relationship Id="rId238" Type="http://schemas.openxmlformats.org/officeDocument/2006/relationships/hyperlink" Target="https://www.nba.com/stats/events/?flag=1&amp;CFID=&amp;CFPARAMS=&amp;PlayerID=1627763&amp;TeamID=0&amp;GameID=&amp;ContextMeasure=STL&amp;Season=2021-22&amp;SeasonType=Regular%20Season&amp;LeagueID=00&amp;PerMode=PerGame&amp;Scope=S&amp;StatCategory=PTS&amp;section=leaders" TargetMode="External"/><Relationship Id="rId291" Type="http://schemas.openxmlformats.org/officeDocument/2006/relationships/hyperlink" Target="https://www.nba.com/stats/events/?flag=3&amp;CFID=&amp;CFPARAMS=&amp;PlayerID=203924&amp;TeamID=0&amp;GameID=&amp;ContextMeasure=FGA&amp;Season=2021-22&amp;SeasonType=Regular%20Season&amp;LeagueID=00&amp;PerMode=PerGame&amp;Scope=S&amp;StatCategory=PTS&amp;section=leaders" TargetMode="External"/><Relationship Id="rId305" Type="http://schemas.openxmlformats.org/officeDocument/2006/relationships/hyperlink" Target="https://www.nba.com/stats/events/?flag=3&amp;CFID=&amp;CFPARAMS=&amp;PlayerID=203944&amp;TeamID=0&amp;GameID=&amp;ContextMeasure=FG3A&amp;Season=2021-22&amp;SeasonType=Regular%20Season&amp;LeagueID=00&amp;PerMode=PerGame&amp;Scope=S&amp;StatCategory=PTS&amp;section=leaders" TargetMode="External"/><Relationship Id="rId347" Type="http://schemas.openxmlformats.org/officeDocument/2006/relationships/hyperlink" Target="https://www.nba.com/stats/events/?flag=1&amp;CFID=&amp;CFPARAMS=&amp;PlayerID=1630178&amp;TeamID=0&amp;GameID=&amp;ContextMeasure=BLK&amp;Season=2021-22&amp;SeasonType=Regular%20Season&amp;LeagueID=00&amp;PerMode=PerGame&amp;Scope=S&amp;StatCategory=PTS&amp;section=leaders" TargetMode="External"/><Relationship Id="rId44" Type="http://schemas.openxmlformats.org/officeDocument/2006/relationships/hyperlink" Target="https://www.nba.com/stats/events/?flag=1&amp;CFID=&amp;CFPARAMS=&amp;PlayerID=1629027&amp;TeamID=0&amp;GameID=&amp;ContextMeasure=REB&amp;Season=2021-22&amp;SeasonType=Regular%20Season&amp;LeagueID=00&amp;PerMode=PerGame&amp;Scope=S&amp;StatCategory=PTS&amp;section=leaders" TargetMode="External"/><Relationship Id="rId86" Type="http://schemas.openxmlformats.org/officeDocument/2006/relationships/hyperlink" Target="https://www.nba.com/stats/events/?flag=3&amp;CFID=&amp;CFPARAMS=&amp;PlayerID=1629029&amp;TeamID=0&amp;GameID=&amp;ContextMeasure=FGM&amp;Season=2021-22&amp;SeasonType=Regular%20Season&amp;LeagueID=00&amp;PerMode=PerGame&amp;Scope=S&amp;StatCategory=PTS&amp;section=leaders" TargetMode="External"/><Relationship Id="rId151" Type="http://schemas.openxmlformats.org/officeDocument/2006/relationships/hyperlink" Target="https://www.nba.com/stats/events/?flag=1&amp;CFID=&amp;CFPARAMS=&amp;PlayerID=202710&amp;TeamID=0&amp;GameID=&amp;ContextMeasure=DREB&amp;Season=2021-22&amp;SeasonType=Regular%20Season&amp;LeagueID=00&amp;PerMode=PerGame&amp;Scope=S&amp;StatCategory=PTS&amp;section=leaders" TargetMode="External"/><Relationship Id="rId389" Type="http://schemas.openxmlformats.org/officeDocument/2006/relationships/hyperlink" Target="https://www.nba.com/stats/events/?flag=3&amp;CFID=&amp;CFPARAMS=&amp;PlayerID=1630178&amp;TeamID=0&amp;GameID=&amp;ContextMeasure=FGA&amp;Season=2021-22&amp;SeasonType=Regular%20Season&amp;LeagueID=00&amp;PerMode=PerGame&amp;Scope=S&amp;StatCategory=PTS&amp;section=leaders" TargetMode="External"/><Relationship Id="rId193" Type="http://schemas.openxmlformats.org/officeDocument/2006/relationships/hyperlink" Target="https://www.nba.com/player/1627742/traditional/" TargetMode="External"/><Relationship Id="rId207" Type="http://schemas.openxmlformats.org/officeDocument/2006/relationships/hyperlink" Target="https://www.nba.com/stats/events/?flag=3&amp;CFID=&amp;CFPARAMS=&amp;PlayerID=203081&amp;TeamID=0&amp;GameID=&amp;ContextMeasure=FGA&amp;Season=2021-22&amp;SeasonType=Regular%20Season&amp;LeagueID=00&amp;PerMode=PerGame&amp;Scope=S&amp;StatCategory=PTS&amp;section=leaders" TargetMode="External"/><Relationship Id="rId249" Type="http://schemas.openxmlformats.org/officeDocument/2006/relationships/hyperlink" Target="https://www.nba.com/stats/events/?flag=1&amp;CFID=&amp;CFPARAMS=&amp;PlayerID=1628368&amp;TeamID=0&amp;GameID=&amp;ContextMeasure=AST&amp;Season=2021-22&amp;SeasonType=Regular%20Season&amp;LeagueID=00&amp;PerMode=PerGame&amp;Scope=S&amp;StatCategory=PTS&amp;section=leaders" TargetMode="External"/><Relationship Id="rId13" Type="http://schemas.openxmlformats.org/officeDocument/2006/relationships/hyperlink" Target="https://www.nba.com/player/201939/traditional/" TargetMode="External"/><Relationship Id="rId109" Type="http://schemas.openxmlformats.org/officeDocument/2006/relationships/hyperlink" Target="https://www.nba.com/player/203076/traditional/" TargetMode="External"/><Relationship Id="rId260" Type="http://schemas.openxmlformats.org/officeDocument/2006/relationships/hyperlink" Target="https://www.nba.com/stats/events/?flag=1&amp;CFID=&amp;CFPARAMS=&amp;PlayerID=1630163&amp;TeamID=0&amp;GameID=&amp;ContextMeasure=REB&amp;Season=2021-22&amp;SeasonType=Regular%20Season&amp;LeagueID=00&amp;PerMode=PerGame&amp;Scope=S&amp;StatCategory=PTS&amp;section=leaders" TargetMode="External"/><Relationship Id="rId316" Type="http://schemas.openxmlformats.org/officeDocument/2006/relationships/hyperlink" Target="https://www.nba.com/stats/events/?flag=3&amp;CFID=&amp;CFPARAMS=&amp;PlayerID=1627749&amp;TeamID=0&amp;GameID=&amp;ContextMeasure=FG3M&amp;Season=2021-22&amp;SeasonType=Regular%20Season&amp;LeagueID=00&amp;PerMode=PerGame&amp;Scope=S&amp;StatCategory=PTS&amp;section=leaders" TargetMode="External"/><Relationship Id="rId55" Type="http://schemas.openxmlformats.org/officeDocument/2006/relationships/hyperlink" Target="https://www.nba.com/stats/events/?flag=1&amp;CFID=&amp;CFPARAMS=&amp;PlayerID=201942&amp;TeamID=0&amp;GameID=&amp;ContextMeasure=DREB&amp;Season=2021-22&amp;SeasonType=Regular%20Season&amp;LeagueID=00&amp;PerMode=PerGame&amp;Scope=S&amp;StatCategory=PTS&amp;section=leaders" TargetMode="External"/><Relationship Id="rId97" Type="http://schemas.openxmlformats.org/officeDocument/2006/relationships/hyperlink" Target="https://www.nba.com/player/1628369/traditional/" TargetMode="External"/><Relationship Id="rId120" Type="http://schemas.openxmlformats.org/officeDocument/2006/relationships/hyperlink" Target="https://www.nba.com/stats/events/?flag=1&amp;CFID=&amp;CFPARAMS=&amp;PlayerID=203076&amp;TeamID=0&amp;GameID=&amp;ContextMeasure=TOV&amp;Season=2021-22&amp;SeasonType=Regular%20Season&amp;LeagueID=00&amp;PerMode=PerGame&amp;Scope=S&amp;StatCategory=PTS&amp;section=leaders" TargetMode="External"/><Relationship Id="rId358" Type="http://schemas.openxmlformats.org/officeDocument/2006/relationships/hyperlink" Target="https://www.nba.com/stats/events/?flag=1&amp;CFID=&amp;CFPARAMS=&amp;PlayerID=1626174&amp;TeamID=0&amp;GameID=&amp;ContextMeasure=STL&amp;Season=2021-22&amp;SeasonType=Regular%20Season&amp;LeagueID=00&amp;PerMode=PerGame&amp;Scope=S&amp;StatCategory=PTS&amp;section=leaders" TargetMode="External"/><Relationship Id="rId162" Type="http://schemas.openxmlformats.org/officeDocument/2006/relationships/hyperlink" Target="https://www.nba.com/stats/events/?flag=1&amp;CFID=&amp;CFPARAMS=&amp;PlayerID=1626164&amp;TeamID=0&amp;GameID=&amp;ContextMeasure=OREB&amp;Season=2021-22&amp;SeasonType=Regular%20Season&amp;LeagueID=00&amp;PerMode=PerGame&amp;Scope=S&amp;StatCategory=PTS&amp;section=leaders" TargetMode="External"/><Relationship Id="rId218" Type="http://schemas.openxmlformats.org/officeDocument/2006/relationships/hyperlink" Target="https://www.nba.com/stats/events/?flag=3&amp;CFID=&amp;CFPARAMS=&amp;PlayerID=1628983&amp;TeamID=0&amp;GameID=&amp;ContextMeasure=FGM&amp;Season=2021-22&amp;SeasonType=Regular%20Season&amp;LeagueID=00&amp;PerMode=PerGame&amp;Scope=S&amp;StatCategory=PTS&amp;section=leaders" TargetMode="External"/><Relationship Id="rId271" Type="http://schemas.openxmlformats.org/officeDocument/2006/relationships/hyperlink" Target="https://www.nba.com/stats/events/?flag=1&amp;CFID=&amp;CFPARAMS=&amp;PlayerID=1630175&amp;TeamID=0&amp;GameID=&amp;ContextMeasure=DREB&amp;Season=2021-22&amp;SeasonType=Regular%20Season&amp;LeagueID=00&amp;PerMode=PerGame&amp;Scope=S&amp;StatCategory=PTS&amp;section=leaders" TargetMode="External"/><Relationship Id="rId24" Type="http://schemas.openxmlformats.org/officeDocument/2006/relationships/hyperlink" Target="https://www.nba.com/stats/events/?flag=1&amp;CFID=&amp;CFPARAMS=&amp;PlayerID=201939&amp;TeamID=0&amp;GameID=&amp;ContextMeasure=TOV&amp;Season=2021-22&amp;SeasonType=Regular%20Season&amp;LeagueID=00&amp;PerMode=PerGame&amp;Scope=S&amp;StatCategory=PTS&amp;section=leaders" TargetMode="External"/><Relationship Id="rId66" Type="http://schemas.openxmlformats.org/officeDocument/2006/relationships/hyperlink" Target="https://www.nba.com/stats/events/?flag=1&amp;CFID=&amp;CFPARAMS=&amp;PlayerID=202331&amp;TeamID=0&amp;GameID=&amp;ContextMeasure=OREB&amp;Season=2021-22&amp;SeasonType=Regular%20Season&amp;LeagueID=00&amp;PerMode=PerGame&amp;Scope=S&amp;StatCategory=PTS&amp;section=leaders" TargetMode="External"/><Relationship Id="rId131" Type="http://schemas.openxmlformats.org/officeDocument/2006/relationships/hyperlink" Target="https://www.nba.com/stats/events/?flag=1&amp;CFID=&amp;CFPARAMS=&amp;PlayerID=1629630&amp;TeamID=0&amp;GameID=&amp;ContextMeasure=BLK&amp;Season=2021-22&amp;SeasonType=Regular%20Season&amp;LeagueID=00&amp;PerMode=PerGame&amp;Scope=S&amp;StatCategory=PTS&amp;section=leaders" TargetMode="External"/><Relationship Id="rId327" Type="http://schemas.openxmlformats.org/officeDocument/2006/relationships/hyperlink" Target="https://www.nba.com/stats/events/?flag=3&amp;CFID=&amp;CFPARAMS=&amp;PlayerID=1629636&amp;TeamID=0&amp;GameID=&amp;ContextMeasure=FGA&amp;Season=2021-22&amp;SeasonType=Regular%20Season&amp;LeagueID=00&amp;PerMode=PerGame&amp;Scope=S&amp;StatCategory=PTS&amp;section=leaders" TargetMode="External"/><Relationship Id="rId369" Type="http://schemas.openxmlformats.org/officeDocument/2006/relationships/hyperlink" Target="https://www.nba.com/stats/events/?flag=3&amp;CFID=&amp;CFPARAMS=&amp;PlayerID=1628369&amp;TeamID=0&amp;GameID=&amp;ContextMeasure=FGA&amp;Season=2021-22&amp;SeasonType=Regular%20Season&amp;LeagueID=00&amp;PerMode=PerGame&amp;Scope=S&amp;StatCategory=PTS&amp;section=leaders" TargetMode="External"/><Relationship Id="rId173" Type="http://schemas.openxmlformats.org/officeDocument/2006/relationships/hyperlink" Target="https://www.nba.com/stats/events/?flag=3&amp;CFID=&amp;CFPARAMS=&amp;PlayerID=1628378&amp;TeamID=0&amp;GameID=&amp;ContextMeasure=FG3A&amp;Season=2021-22&amp;SeasonType=Regular%20Season&amp;LeagueID=00&amp;PerMode=PerGame&amp;Scope=S&amp;StatCategory=PTS&amp;section=leaders" TargetMode="External"/><Relationship Id="rId229" Type="http://schemas.openxmlformats.org/officeDocument/2006/relationships/hyperlink" Target="https://www.nba.com/player/1627763/traditional/" TargetMode="External"/><Relationship Id="rId380" Type="http://schemas.openxmlformats.org/officeDocument/2006/relationships/hyperlink" Target="https://www.nba.com/stats/events/?flag=3&amp;CFID=&amp;CFPARAMS=&amp;PlayerID=1627763&amp;TeamID=0&amp;GameID=&amp;ContextMeasure=FGA&amp;Season=2021-22&amp;SeasonType=Regular%20Season&amp;LeagueID=00&amp;PerMode=PerGame&amp;Scope=S&amp;StatCategory=PTS&amp;section=leaders" TargetMode="External"/><Relationship Id="rId240" Type="http://schemas.openxmlformats.org/officeDocument/2006/relationships/hyperlink" Target="https://www.nba.com/stats/events/?flag=1&amp;CFID=&amp;CFPARAMS=&amp;PlayerID=1627763&amp;TeamID=0&amp;GameID=&amp;ContextMeasure=TOV&amp;Season=2021-22&amp;SeasonType=Regular%20Season&amp;LeagueID=00&amp;PerMode=PerGame&amp;Scope=S&amp;StatCategory=PTS&amp;section=leaders" TargetMode="External"/><Relationship Id="rId35" Type="http://schemas.openxmlformats.org/officeDocument/2006/relationships/hyperlink" Target="https://www.nba.com/stats/events/?flag=1&amp;CFID=&amp;CFPARAMS=&amp;PlayerID=203507&amp;TeamID=0&amp;GameID=&amp;ContextMeasure=BLK&amp;Season=2021-22&amp;SeasonType=Regular%20Season&amp;LeagueID=00&amp;PerMode=PerGame&amp;Scope=S&amp;StatCategory=PTS&amp;section=leaders" TargetMode="External"/><Relationship Id="rId77" Type="http://schemas.openxmlformats.org/officeDocument/2006/relationships/hyperlink" Target="https://www.nba.com/stats/events/?flag=3&amp;CFID=&amp;CFPARAMS=&amp;PlayerID=203999&amp;TeamID=0&amp;GameID=&amp;ContextMeasure=FG3A&amp;Season=2021-22&amp;SeasonType=Regular%20Season&amp;LeagueID=00&amp;PerMode=PerGame&amp;Scope=S&amp;StatCategory=PTS&amp;section=leaders" TargetMode="External"/><Relationship Id="rId100" Type="http://schemas.openxmlformats.org/officeDocument/2006/relationships/hyperlink" Target="https://www.nba.com/stats/events/?flag=3&amp;CFID=&amp;CFPARAMS=&amp;PlayerID=1628369&amp;TeamID=0&amp;GameID=&amp;ContextMeasure=FG3M&amp;Season=2021-22&amp;SeasonType=Regular%20Season&amp;LeagueID=00&amp;PerMode=PerGame&amp;Scope=S&amp;StatCategory=PTS&amp;section=leaders" TargetMode="External"/><Relationship Id="rId282" Type="http://schemas.openxmlformats.org/officeDocument/2006/relationships/hyperlink" Target="https://www.nba.com/stats/events/?flag=1&amp;CFID=&amp;CFPARAMS=&amp;PlayerID=1627832&amp;TeamID=0&amp;GameID=&amp;ContextMeasure=OREB&amp;Season=2021-22&amp;SeasonType=Regular%20Season&amp;LeagueID=00&amp;PerMode=PerGame&amp;Scope=S&amp;StatCategory=PTS&amp;section=leaders" TargetMode="External"/><Relationship Id="rId338" Type="http://schemas.openxmlformats.org/officeDocument/2006/relationships/hyperlink" Target="https://www.nba.com/stats/events/?flag=3&amp;CFID=&amp;CFPARAMS=&amp;PlayerID=1630178&amp;TeamID=0&amp;GameID=&amp;ContextMeasure=FGM&amp;Season=2021-22&amp;SeasonType=Regular%20Season&amp;LeagueID=00&amp;PerMode=PerGame&amp;Scope=S&amp;StatCategory=PTS&amp;section=leaders" TargetMode="External"/><Relationship Id="rId8" Type="http://schemas.openxmlformats.org/officeDocument/2006/relationships/hyperlink" Target="https://www.nba.com/stats/events/?flag=1&amp;CFID=&amp;CFPARAMS=&amp;PlayerID=201142&amp;TeamID=0&amp;GameID=&amp;ContextMeasure=REB&amp;Season=2021-22&amp;SeasonType=Regular%20Season&amp;LeagueID=00&amp;PerMode=PerGame&amp;Scope=S&amp;StatCategory=PTS&amp;section=leaders" TargetMode="External"/><Relationship Id="rId142" Type="http://schemas.openxmlformats.org/officeDocument/2006/relationships/hyperlink" Target="https://www.nba.com/stats/events/?flag=1&amp;CFID=&amp;CFPARAMS=&amp;PlayerID=1626157&amp;TeamID=0&amp;GameID=&amp;ContextMeasure=STL&amp;Season=2021-22&amp;SeasonType=Regular%20Season&amp;LeagueID=00&amp;PerMode=PerGame&amp;Scope=S&amp;StatCategory=PTS&amp;section=leaders" TargetMode="External"/><Relationship Id="rId184" Type="http://schemas.openxmlformats.org/officeDocument/2006/relationships/hyperlink" Target="https://www.nba.com/stats/events/?flag=3&amp;CFID=&amp;CFPARAMS=&amp;PlayerID=203078&amp;TeamID=0&amp;GameID=&amp;ContextMeasure=FG3M&amp;Season=2021-22&amp;SeasonType=Regular%20Season&amp;LeagueID=00&amp;PerMode=PerGame&amp;Scope=S&amp;StatCategory=PTS&amp;section=leaders" TargetMode="External"/><Relationship Id="rId391" Type="http://schemas.openxmlformats.org/officeDocument/2006/relationships/hyperlink" Target="https://www.nba.com/stats/events/?flag=3&amp;CFID=&amp;CFPARAMS=&amp;PlayerID=201142&amp;TeamID=0&amp;GameID=&amp;ContextMeasure=FG3M&amp;Season=2021-22&amp;SeasonType=Regular%20Season&amp;LeagueID=00&amp;PerMode=PerGame&amp;Scope=S&amp;StatCategory=PTS&amp;section=leaders" TargetMode="External"/><Relationship Id="rId251" Type="http://schemas.openxmlformats.org/officeDocument/2006/relationships/hyperlink" Target="https://www.nba.com/stats/events/?flag=1&amp;CFID=&amp;CFPARAMS=&amp;PlayerID=1628368&amp;TeamID=0&amp;GameID=&amp;ContextMeasure=BLK&amp;Season=2021-22&amp;SeasonType=Regular%20Season&amp;LeagueID=00&amp;PerMode=PerGame&amp;Scope=S&amp;StatCategory=PTS&amp;section=leaders" TargetMode="External"/><Relationship Id="rId46" Type="http://schemas.openxmlformats.org/officeDocument/2006/relationships/hyperlink" Target="https://www.nba.com/stats/events/?flag=1&amp;CFID=&amp;CFPARAMS=&amp;PlayerID=1629027&amp;TeamID=0&amp;GameID=&amp;ContextMeasure=STL&amp;Season=2021-22&amp;SeasonType=Regular%20Season&amp;LeagueID=00&amp;PerMode=PerGame&amp;Scope=S&amp;StatCategory=PTS&amp;section=leaders" TargetMode="External"/><Relationship Id="rId293" Type="http://schemas.openxmlformats.org/officeDocument/2006/relationships/hyperlink" Target="https://www.nba.com/stats/events/?flag=3&amp;CFID=&amp;CFPARAMS=&amp;PlayerID=203924&amp;TeamID=0&amp;GameID=&amp;ContextMeasure=FG3A&amp;Season=2021-22&amp;SeasonType=Regular%20Season&amp;LeagueID=00&amp;PerMode=PerGame&amp;Scope=S&amp;StatCategory=PTS&amp;section=leaders" TargetMode="External"/><Relationship Id="rId307" Type="http://schemas.openxmlformats.org/officeDocument/2006/relationships/hyperlink" Target="https://www.nba.com/stats/events/?flag=1&amp;CFID=&amp;CFPARAMS=&amp;PlayerID=203944&amp;TeamID=0&amp;GameID=&amp;ContextMeasure=DREB&amp;Season=2021-22&amp;SeasonType=Regular%20Season&amp;LeagueID=00&amp;PerMode=PerGame&amp;Scope=S&amp;StatCategory=PTS&amp;section=leaders" TargetMode="External"/><Relationship Id="rId349" Type="http://schemas.openxmlformats.org/officeDocument/2006/relationships/hyperlink" Target="https://www.nba.com/player/1626174/traditional/" TargetMode="External"/><Relationship Id="rId88" Type="http://schemas.openxmlformats.org/officeDocument/2006/relationships/hyperlink" Target="https://www.nba.com/stats/events/?flag=3&amp;CFID=&amp;CFPARAMS=&amp;PlayerID=1629029&amp;TeamID=0&amp;GameID=&amp;ContextMeasure=FG3M&amp;Season=2021-22&amp;SeasonType=Regular%20Season&amp;LeagueID=00&amp;PerMode=PerGame&amp;Scope=S&amp;StatCategory=PTS&amp;section=leaders" TargetMode="External"/><Relationship Id="rId111" Type="http://schemas.openxmlformats.org/officeDocument/2006/relationships/hyperlink" Target="https://www.nba.com/stats/events/?flag=3&amp;CFID=&amp;CFPARAMS=&amp;PlayerID=203076&amp;TeamID=0&amp;GameID=&amp;ContextMeasure=FGA&amp;Season=2021-22&amp;SeasonType=Regular%20Season&amp;LeagueID=00&amp;PerMode=PerGame&amp;Scope=S&amp;StatCategory=PTS&amp;section=leaders" TargetMode="External"/><Relationship Id="rId153" Type="http://schemas.openxmlformats.org/officeDocument/2006/relationships/hyperlink" Target="https://www.nba.com/stats/events/?flag=1&amp;CFID=&amp;CFPARAMS=&amp;PlayerID=202710&amp;TeamID=0&amp;GameID=&amp;ContextMeasure=AST&amp;Season=2021-22&amp;SeasonType=Regular%20Season&amp;LeagueID=00&amp;PerMode=PerGame&amp;Scope=S&amp;StatCategory=PTS&amp;section=leaders" TargetMode="External"/><Relationship Id="rId195" Type="http://schemas.openxmlformats.org/officeDocument/2006/relationships/hyperlink" Target="https://www.nba.com/stats/events/?flag=3&amp;CFID=&amp;CFPARAMS=&amp;PlayerID=1627742&amp;TeamID=0&amp;GameID=&amp;ContextMeasure=FGA&amp;Season=2021-22&amp;SeasonType=Regular%20Season&amp;LeagueID=00&amp;PerMode=PerGame&amp;Scope=S&amp;StatCategory=PTS&amp;section=leaders" TargetMode="External"/><Relationship Id="rId209" Type="http://schemas.openxmlformats.org/officeDocument/2006/relationships/hyperlink" Target="https://www.nba.com/stats/events/?flag=3&amp;CFID=&amp;CFPARAMS=&amp;PlayerID=203081&amp;TeamID=0&amp;GameID=&amp;ContextMeasure=FG3A&amp;Season=2021-22&amp;SeasonType=Regular%20Season&amp;LeagueID=00&amp;PerMode=PerGame&amp;Scope=S&amp;StatCategory=PTS&amp;section=leaders" TargetMode="External"/><Relationship Id="rId360" Type="http://schemas.openxmlformats.org/officeDocument/2006/relationships/hyperlink" Target="https://www.nba.com/stats/events/?flag=1&amp;CFID=&amp;CFPARAMS=&amp;PlayerID=1626174&amp;TeamID=0&amp;GameID=&amp;ContextMeasure=TOV&amp;Season=2021-22&amp;SeasonType=Regular%20Season&amp;LeagueID=00&amp;PerMode=PerGame&amp;Scope=S&amp;StatCategory=PTS&amp;section=leaders" TargetMode="External"/><Relationship Id="rId220" Type="http://schemas.openxmlformats.org/officeDocument/2006/relationships/hyperlink" Target="https://www.nba.com/stats/events/?flag=3&amp;CFID=&amp;CFPARAMS=&amp;PlayerID=1628983&amp;TeamID=0&amp;GameID=&amp;ContextMeasure=FG3M&amp;Season=2021-22&amp;SeasonType=Regular%20Season&amp;LeagueID=00&amp;PerMode=PerGame&amp;Scope=S&amp;StatCategory=PTS&amp;section=leaders" TargetMode="External"/><Relationship Id="rId15" Type="http://schemas.openxmlformats.org/officeDocument/2006/relationships/hyperlink" Target="https://www.nba.com/stats/events/?flag=3&amp;CFID=&amp;CFPARAMS=&amp;PlayerID=201939&amp;TeamID=0&amp;GameID=&amp;ContextMeasure=FGA&amp;Season=2021-22&amp;SeasonType=Regular%20Season&amp;LeagueID=00&amp;PerMode=PerGame&amp;Scope=S&amp;StatCategory=PTS&amp;section=leaders" TargetMode="External"/><Relationship Id="rId57" Type="http://schemas.openxmlformats.org/officeDocument/2006/relationships/hyperlink" Target="https://www.nba.com/stats/events/?flag=1&amp;CFID=&amp;CFPARAMS=&amp;PlayerID=201942&amp;TeamID=0&amp;GameID=&amp;ContextMeasure=AST&amp;Season=2021-22&amp;SeasonType=Regular%20Season&amp;LeagueID=00&amp;PerMode=PerGame&amp;Scope=S&amp;StatCategory=PTS&amp;section=leaders" TargetMode="External"/><Relationship Id="rId262" Type="http://schemas.openxmlformats.org/officeDocument/2006/relationships/hyperlink" Target="https://www.nba.com/stats/events/?flag=1&amp;CFID=&amp;CFPARAMS=&amp;PlayerID=1630163&amp;TeamID=0&amp;GameID=&amp;ContextMeasure=STL&amp;Season=2021-22&amp;SeasonType=Regular%20Season&amp;LeagueID=00&amp;PerMode=PerGame&amp;Scope=S&amp;StatCategory=PTS&amp;section=leaders" TargetMode="External"/><Relationship Id="rId318" Type="http://schemas.openxmlformats.org/officeDocument/2006/relationships/hyperlink" Target="https://www.nba.com/stats/events/?flag=1&amp;CFID=&amp;CFPARAMS=&amp;PlayerID=1627749&amp;TeamID=0&amp;GameID=&amp;ContextMeasure=OREB&amp;Season=2021-22&amp;SeasonType=Regular%20Season&amp;LeagueID=00&amp;PerMode=PerGame&amp;Scope=S&amp;StatCategory=PTS&amp;section=leaders" TargetMode="External"/><Relationship Id="rId99" Type="http://schemas.openxmlformats.org/officeDocument/2006/relationships/hyperlink" Target="https://www.nba.com/stats/events/?flag=3&amp;CFID=&amp;CFPARAMS=&amp;PlayerID=1628369&amp;TeamID=0&amp;GameID=&amp;ContextMeasure=FGA&amp;Season=2021-22&amp;SeasonType=Regular%20Season&amp;LeagueID=00&amp;PerMode=PerGame&amp;Scope=S&amp;StatCategory=PTS&amp;section=leaders" TargetMode="External"/><Relationship Id="rId122" Type="http://schemas.openxmlformats.org/officeDocument/2006/relationships/hyperlink" Target="https://www.nba.com/stats/events/?flag=3&amp;CFID=&amp;CFPARAMS=&amp;PlayerID=1629630&amp;TeamID=0&amp;GameID=&amp;ContextMeasure=FGM&amp;Season=2021-22&amp;SeasonType=Regular%20Season&amp;LeagueID=00&amp;PerMode=PerGame&amp;Scope=S&amp;StatCategory=PTS&amp;section=leaders" TargetMode="External"/><Relationship Id="rId164" Type="http://schemas.openxmlformats.org/officeDocument/2006/relationships/hyperlink" Target="https://www.nba.com/stats/events/?flag=1&amp;CFID=&amp;CFPARAMS=&amp;PlayerID=1626164&amp;TeamID=0&amp;GameID=&amp;ContextMeasure=REB&amp;Season=2021-22&amp;SeasonType=Regular%20Season&amp;LeagueID=00&amp;PerMode=PerGame&amp;Scope=S&amp;StatCategory=PTS&amp;section=leaders" TargetMode="External"/><Relationship Id="rId371" Type="http://schemas.openxmlformats.org/officeDocument/2006/relationships/hyperlink" Target="https://www.nba.com/stats/events/?flag=3&amp;CFID=&amp;CFPARAMS=&amp;PlayerID=1629630&amp;TeamID=0&amp;GameID=&amp;ContextMeasure=FGA&amp;Season=2021-22&amp;SeasonType=Regular%20Season&amp;LeagueID=00&amp;PerMode=PerGame&amp;Scope=S&amp;StatCategory=PTS&amp;section=leaders" TargetMode="External"/><Relationship Id="rId26" Type="http://schemas.openxmlformats.org/officeDocument/2006/relationships/hyperlink" Target="https://www.nba.com/stats/events/?flag=3&amp;CFID=&amp;CFPARAMS=&amp;PlayerID=203507&amp;TeamID=0&amp;GameID=&amp;ContextMeasure=FGM&amp;Season=2021-22&amp;SeasonType=Regular%20Season&amp;LeagueID=00&amp;PerMode=PerGame&amp;Scope=S&amp;StatCategory=PTS&amp;section=leaders" TargetMode="External"/><Relationship Id="rId231" Type="http://schemas.openxmlformats.org/officeDocument/2006/relationships/hyperlink" Target="https://www.nba.com/stats/events/?flag=3&amp;CFID=&amp;CFPARAMS=&amp;PlayerID=1627763&amp;TeamID=0&amp;GameID=&amp;ContextMeasure=FGA&amp;Season=2021-22&amp;SeasonType=Regular%20Season&amp;LeagueID=00&amp;PerMode=PerGame&amp;Scope=S&amp;StatCategory=PTS&amp;section=leaders" TargetMode="External"/><Relationship Id="rId273" Type="http://schemas.openxmlformats.org/officeDocument/2006/relationships/hyperlink" Target="https://www.nba.com/stats/events/?flag=1&amp;CFID=&amp;CFPARAMS=&amp;PlayerID=1630175&amp;TeamID=0&amp;GameID=&amp;ContextMeasure=AST&amp;Season=2021-22&amp;SeasonType=Regular%20Season&amp;LeagueID=00&amp;PerMode=PerGame&amp;Scope=S&amp;StatCategory=PTS&amp;section=leaders" TargetMode="External"/><Relationship Id="rId329" Type="http://schemas.openxmlformats.org/officeDocument/2006/relationships/hyperlink" Target="https://www.nba.com/stats/events/?flag=3&amp;CFID=&amp;CFPARAMS=&amp;PlayerID=1629636&amp;TeamID=0&amp;GameID=&amp;ContextMeasure=FG3A&amp;Season=2021-22&amp;SeasonType=Regular%20Season&amp;LeagueID=00&amp;PerMode=PerGame&amp;Scope=S&amp;StatCategory=PTS&amp;section=leaders" TargetMode="External"/><Relationship Id="rId68" Type="http://schemas.openxmlformats.org/officeDocument/2006/relationships/hyperlink" Target="https://www.nba.com/stats/events/?flag=1&amp;CFID=&amp;CFPARAMS=&amp;PlayerID=202331&amp;TeamID=0&amp;GameID=&amp;ContextMeasure=REB&amp;Season=2021-22&amp;SeasonType=Regular%20Season&amp;LeagueID=00&amp;PerMode=PerGame&amp;Scope=S&amp;StatCategory=PTS&amp;section=leaders" TargetMode="External"/><Relationship Id="rId133" Type="http://schemas.openxmlformats.org/officeDocument/2006/relationships/hyperlink" Target="https://www.nba.com/player/1626157/traditional/" TargetMode="External"/><Relationship Id="rId175" Type="http://schemas.openxmlformats.org/officeDocument/2006/relationships/hyperlink" Target="https://www.nba.com/stats/events/?flag=1&amp;CFID=&amp;CFPARAMS=&amp;PlayerID=1628378&amp;TeamID=0&amp;GameID=&amp;ContextMeasure=DREB&amp;Season=2021-22&amp;SeasonType=Regular%20Season&amp;LeagueID=00&amp;PerMode=PerGame&amp;Scope=S&amp;StatCategory=PTS&amp;section=leaders" TargetMode="External"/><Relationship Id="rId340" Type="http://schemas.openxmlformats.org/officeDocument/2006/relationships/hyperlink" Target="https://www.nba.com/stats/events/?flag=3&amp;CFID=&amp;CFPARAMS=&amp;PlayerID=1630178&amp;TeamID=0&amp;GameID=&amp;ContextMeasure=FG3M&amp;Season=2021-22&amp;SeasonType=Regular%20Season&amp;LeagueID=00&amp;PerMode=PerGame&amp;Scope=S&amp;StatCategory=PTS&amp;section=leaders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ba.com/player/1629029/traditional/" TargetMode="External"/><Relationship Id="rId13" Type="http://schemas.openxmlformats.org/officeDocument/2006/relationships/hyperlink" Target="https://www.nba.com/player/202710/traditional/" TargetMode="External"/><Relationship Id="rId18" Type="http://schemas.openxmlformats.org/officeDocument/2006/relationships/hyperlink" Target="https://www.nba.com/player/203081/traditional/" TargetMode="External"/><Relationship Id="rId26" Type="http://schemas.openxmlformats.org/officeDocument/2006/relationships/hyperlink" Target="https://www.nba.com/player/203944/traditional/" TargetMode="External"/><Relationship Id="rId3" Type="http://schemas.openxmlformats.org/officeDocument/2006/relationships/hyperlink" Target="https://www.nba.com/player/203507/traditional/" TargetMode="External"/><Relationship Id="rId21" Type="http://schemas.openxmlformats.org/officeDocument/2006/relationships/hyperlink" Target="https://www.nba.com/player/1628368/traditional/" TargetMode="External"/><Relationship Id="rId7" Type="http://schemas.openxmlformats.org/officeDocument/2006/relationships/hyperlink" Target="https://www.nba.com/player/203999/traditional/" TargetMode="External"/><Relationship Id="rId12" Type="http://schemas.openxmlformats.org/officeDocument/2006/relationships/hyperlink" Target="https://www.nba.com/player/1626157/traditional/" TargetMode="External"/><Relationship Id="rId17" Type="http://schemas.openxmlformats.org/officeDocument/2006/relationships/hyperlink" Target="https://www.nba.com/player/1627742/traditional/" TargetMode="External"/><Relationship Id="rId25" Type="http://schemas.openxmlformats.org/officeDocument/2006/relationships/hyperlink" Target="https://www.nba.com/player/203924/traditional/" TargetMode="External"/><Relationship Id="rId2" Type="http://schemas.openxmlformats.org/officeDocument/2006/relationships/hyperlink" Target="https://www.nba.com/player/201939/traditional/" TargetMode="External"/><Relationship Id="rId16" Type="http://schemas.openxmlformats.org/officeDocument/2006/relationships/hyperlink" Target="https://www.nba.com/player/203078/traditional/" TargetMode="External"/><Relationship Id="rId20" Type="http://schemas.openxmlformats.org/officeDocument/2006/relationships/hyperlink" Target="https://www.nba.com/player/1627763/traditional/" TargetMode="External"/><Relationship Id="rId29" Type="http://schemas.openxmlformats.org/officeDocument/2006/relationships/hyperlink" Target="https://www.nba.com/player/1630178/traditional/" TargetMode="External"/><Relationship Id="rId1" Type="http://schemas.openxmlformats.org/officeDocument/2006/relationships/hyperlink" Target="https://www.nba.com/player/201142/traditional/" TargetMode="External"/><Relationship Id="rId6" Type="http://schemas.openxmlformats.org/officeDocument/2006/relationships/hyperlink" Target="https://www.nba.com/player/202331/traditional/" TargetMode="External"/><Relationship Id="rId11" Type="http://schemas.openxmlformats.org/officeDocument/2006/relationships/hyperlink" Target="https://www.nba.com/player/1629630/traditional/" TargetMode="External"/><Relationship Id="rId24" Type="http://schemas.openxmlformats.org/officeDocument/2006/relationships/hyperlink" Target="https://www.nba.com/player/1627832/traditional/" TargetMode="External"/><Relationship Id="rId5" Type="http://schemas.openxmlformats.org/officeDocument/2006/relationships/hyperlink" Target="https://www.nba.com/player/201942/traditional/" TargetMode="External"/><Relationship Id="rId15" Type="http://schemas.openxmlformats.org/officeDocument/2006/relationships/hyperlink" Target="https://www.nba.com/player/1628378/traditional/" TargetMode="External"/><Relationship Id="rId23" Type="http://schemas.openxmlformats.org/officeDocument/2006/relationships/hyperlink" Target="https://www.nba.com/player/1630175/traditional/" TargetMode="External"/><Relationship Id="rId28" Type="http://schemas.openxmlformats.org/officeDocument/2006/relationships/hyperlink" Target="https://www.nba.com/player/1629636/traditional/" TargetMode="External"/><Relationship Id="rId10" Type="http://schemas.openxmlformats.org/officeDocument/2006/relationships/hyperlink" Target="https://www.nba.com/player/203076/traditional/" TargetMode="External"/><Relationship Id="rId19" Type="http://schemas.openxmlformats.org/officeDocument/2006/relationships/hyperlink" Target="https://www.nba.com/player/1628983/traditional/" TargetMode="External"/><Relationship Id="rId31" Type="http://schemas.openxmlformats.org/officeDocument/2006/relationships/drawing" Target="../drawings/drawing1.xml"/><Relationship Id="rId4" Type="http://schemas.openxmlformats.org/officeDocument/2006/relationships/hyperlink" Target="https://www.nba.com/player/1629027/traditional/" TargetMode="External"/><Relationship Id="rId9" Type="http://schemas.openxmlformats.org/officeDocument/2006/relationships/hyperlink" Target="https://www.nba.com/player/1628369/traditional/" TargetMode="External"/><Relationship Id="rId14" Type="http://schemas.openxmlformats.org/officeDocument/2006/relationships/hyperlink" Target="https://www.nba.com/player/1626164/traditional/" TargetMode="External"/><Relationship Id="rId22" Type="http://schemas.openxmlformats.org/officeDocument/2006/relationships/hyperlink" Target="https://www.nba.com/player/1630163/traditional/" TargetMode="External"/><Relationship Id="rId27" Type="http://schemas.openxmlformats.org/officeDocument/2006/relationships/hyperlink" Target="https://www.nba.com/player/1627749/traditional/" TargetMode="External"/><Relationship Id="rId30" Type="http://schemas.openxmlformats.org/officeDocument/2006/relationships/hyperlink" Target="https://www.nba.com/player/1626174/traditional/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ba.com/player/202710/traditional/" TargetMode="External"/><Relationship Id="rId18" Type="http://schemas.openxmlformats.org/officeDocument/2006/relationships/hyperlink" Target="https://www.nba.com/player/203081/traditional/" TargetMode="External"/><Relationship Id="rId26" Type="http://schemas.openxmlformats.org/officeDocument/2006/relationships/hyperlink" Target="https://www.nba.com/player/203944/traditional/" TargetMode="External"/><Relationship Id="rId39" Type="http://schemas.openxmlformats.org/officeDocument/2006/relationships/hyperlink" Target="https://www.nba.com/player/1628369/traditional/" TargetMode="External"/><Relationship Id="rId21" Type="http://schemas.openxmlformats.org/officeDocument/2006/relationships/hyperlink" Target="https://www.nba.com/player/1628368/traditional/" TargetMode="External"/><Relationship Id="rId34" Type="http://schemas.openxmlformats.org/officeDocument/2006/relationships/hyperlink" Target="https://www.nba.com/player/1629027/traditional/" TargetMode="External"/><Relationship Id="rId42" Type="http://schemas.openxmlformats.org/officeDocument/2006/relationships/hyperlink" Target="https://www.nba.com/player/1626157/traditional/" TargetMode="External"/><Relationship Id="rId47" Type="http://schemas.openxmlformats.org/officeDocument/2006/relationships/hyperlink" Target="https://www.nba.com/player/1627742/traditional/" TargetMode="External"/><Relationship Id="rId50" Type="http://schemas.openxmlformats.org/officeDocument/2006/relationships/hyperlink" Target="https://www.nba.com/player/1627763/traditional/" TargetMode="External"/><Relationship Id="rId55" Type="http://schemas.openxmlformats.org/officeDocument/2006/relationships/hyperlink" Target="https://www.nba.com/player/203924/traditional/" TargetMode="External"/><Relationship Id="rId7" Type="http://schemas.openxmlformats.org/officeDocument/2006/relationships/hyperlink" Target="https://www.nba.com/player/203999/traditional/" TargetMode="External"/><Relationship Id="rId2" Type="http://schemas.openxmlformats.org/officeDocument/2006/relationships/hyperlink" Target="https://www.nba.com/player/201939/traditional/" TargetMode="External"/><Relationship Id="rId16" Type="http://schemas.openxmlformats.org/officeDocument/2006/relationships/hyperlink" Target="https://www.nba.com/player/203078/traditional/" TargetMode="External"/><Relationship Id="rId29" Type="http://schemas.openxmlformats.org/officeDocument/2006/relationships/hyperlink" Target="https://www.nba.com/player/1630178/traditional/" TargetMode="External"/><Relationship Id="rId11" Type="http://schemas.openxmlformats.org/officeDocument/2006/relationships/hyperlink" Target="https://www.nba.com/player/1629630/traditional/" TargetMode="External"/><Relationship Id="rId24" Type="http://schemas.openxmlformats.org/officeDocument/2006/relationships/hyperlink" Target="https://www.nba.com/player/1627832/traditional/" TargetMode="External"/><Relationship Id="rId32" Type="http://schemas.openxmlformats.org/officeDocument/2006/relationships/hyperlink" Target="https://www.nba.com/player/201939/traditional/" TargetMode="External"/><Relationship Id="rId37" Type="http://schemas.openxmlformats.org/officeDocument/2006/relationships/hyperlink" Target="https://www.nba.com/player/203999/traditional/" TargetMode="External"/><Relationship Id="rId40" Type="http://schemas.openxmlformats.org/officeDocument/2006/relationships/hyperlink" Target="https://www.nba.com/player/203076/traditional/" TargetMode="External"/><Relationship Id="rId45" Type="http://schemas.openxmlformats.org/officeDocument/2006/relationships/hyperlink" Target="https://www.nba.com/player/1628378/traditional/" TargetMode="External"/><Relationship Id="rId53" Type="http://schemas.openxmlformats.org/officeDocument/2006/relationships/hyperlink" Target="https://www.nba.com/player/1630175/traditional/" TargetMode="External"/><Relationship Id="rId58" Type="http://schemas.openxmlformats.org/officeDocument/2006/relationships/hyperlink" Target="https://www.nba.com/player/1629636/traditional/" TargetMode="External"/><Relationship Id="rId5" Type="http://schemas.openxmlformats.org/officeDocument/2006/relationships/hyperlink" Target="https://www.nba.com/player/201942/traditional/" TargetMode="External"/><Relationship Id="rId19" Type="http://schemas.openxmlformats.org/officeDocument/2006/relationships/hyperlink" Target="https://www.nba.com/player/1628983/traditional/" TargetMode="External"/><Relationship Id="rId4" Type="http://schemas.openxmlformats.org/officeDocument/2006/relationships/hyperlink" Target="https://www.nba.com/player/1629027/traditional/" TargetMode="External"/><Relationship Id="rId9" Type="http://schemas.openxmlformats.org/officeDocument/2006/relationships/hyperlink" Target="https://www.nba.com/player/1628369/traditional/" TargetMode="External"/><Relationship Id="rId14" Type="http://schemas.openxmlformats.org/officeDocument/2006/relationships/hyperlink" Target="https://www.nba.com/player/1626164/traditional/" TargetMode="External"/><Relationship Id="rId22" Type="http://schemas.openxmlformats.org/officeDocument/2006/relationships/hyperlink" Target="https://www.nba.com/player/1630163/traditional/" TargetMode="External"/><Relationship Id="rId27" Type="http://schemas.openxmlformats.org/officeDocument/2006/relationships/hyperlink" Target="https://www.nba.com/player/1627749/traditional/" TargetMode="External"/><Relationship Id="rId30" Type="http://schemas.openxmlformats.org/officeDocument/2006/relationships/hyperlink" Target="https://www.nba.com/player/1626174/traditional/" TargetMode="External"/><Relationship Id="rId35" Type="http://schemas.openxmlformats.org/officeDocument/2006/relationships/hyperlink" Target="https://www.nba.com/player/201942/traditional/" TargetMode="External"/><Relationship Id="rId43" Type="http://schemas.openxmlformats.org/officeDocument/2006/relationships/hyperlink" Target="https://www.nba.com/player/202710/traditional/" TargetMode="External"/><Relationship Id="rId48" Type="http://schemas.openxmlformats.org/officeDocument/2006/relationships/hyperlink" Target="https://www.nba.com/player/203081/traditional/" TargetMode="External"/><Relationship Id="rId56" Type="http://schemas.openxmlformats.org/officeDocument/2006/relationships/hyperlink" Target="https://www.nba.com/player/203944/traditional/" TargetMode="External"/><Relationship Id="rId8" Type="http://schemas.openxmlformats.org/officeDocument/2006/relationships/hyperlink" Target="https://www.nba.com/player/1629029/traditional/" TargetMode="External"/><Relationship Id="rId51" Type="http://schemas.openxmlformats.org/officeDocument/2006/relationships/hyperlink" Target="https://www.nba.com/player/1628368/traditional/" TargetMode="External"/><Relationship Id="rId3" Type="http://schemas.openxmlformats.org/officeDocument/2006/relationships/hyperlink" Target="https://www.nba.com/player/203507/traditional/" TargetMode="External"/><Relationship Id="rId12" Type="http://schemas.openxmlformats.org/officeDocument/2006/relationships/hyperlink" Target="https://www.nba.com/player/1626157/traditional/" TargetMode="External"/><Relationship Id="rId17" Type="http://schemas.openxmlformats.org/officeDocument/2006/relationships/hyperlink" Target="https://www.nba.com/player/1627742/traditional/" TargetMode="External"/><Relationship Id="rId25" Type="http://schemas.openxmlformats.org/officeDocument/2006/relationships/hyperlink" Target="https://www.nba.com/player/203924/traditional/" TargetMode="External"/><Relationship Id="rId33" Type="http://schemas.openxmlformats.org/officeDocument/2006/relationships/hyperlink" Target="https://www.nba.com/player/203507/traditional/" TargetMode="External"/><Relationship Id="rId38" Type="http://schemas.openxmlformats.org/officeDocument/2006/relationships/hyperlink" Target="https://www.nba.com/player/1629029/traditional/" TargetMode="External"/><Relationship Id="rId46" Type="http://schemas.openxmlformats.org/officeDocument/2006/relationships/hyperlink" Target="https://www.nba.com/player/203078/traditional/" TargetMode="External"/><Relationship Id="rId59" Type="http://schemas.openxmlformats.org/officeDocument/2006/relationships/hyperlink" Target="https://www.nba.com/player/1630178/traditional/" TargetMode="External"/><Relationship Id="rId20" Type="http://schemas.openxmlformats.org/officeDocument/2006/relationships/hyperlink" Target="https://www.nba.com/player/1627763/traditional/" TargetMode="External"/><Relationship Id="rId41" Type="http://schemas.openxmlformats.org/officeDocument/2006/relationships/hyperlink" Target="https://www.nba.com/player/1629630/traditional/" TargetMode="External"/><Relationship Id="rId54" Type="http://schemas.openxmlformats.org/officeDocument/2006/relationships/hyperlink" Target="https://www.nba.com/player/1627832/traditional/" TargetMode="External"/><Relationship Id="rId1" Type="http://schemas.openxmlformats.org/officeDocument/2006/relationships/hyperlink" Target="https://www.nba.com/player/201142/traditional/" TargetMode="External"/><Relationship Id="rId6" Type="http://schemas.openxmlformats.org/officeDocument/2006/relationships/hyperlink" Target="https://www.nba.com/player/202331/traditional/" TargetMode="External"/><Relationship Id="rId15" Type="http://schemas.openxmlformats.org/officeDocument/2006/relationships/hyperlink" Target="https://www.nba.com/player/1628378/traditional/" TargetMode="External"/><Relationship Id="rId23" Type="http://schemas.openxmlformats.org/officeDocument/2006/relationships/hyperlink" Target="https://www.nba.com/player/1630175/traditional/" TargetMode="External"/><Relationship Id="rId28" Type="http://schemas.openxmlformats.org/officeDocument/2006/relationships/hyperlink" Target="https://www.nba.com/player/1629636/traditional/" TargetMode="External"/><Relationship Id="rId36" Type="http://schemas.openxmlformats.org/officeDocument/2006/relationships/hyperlink" Target="https://www.nba.com/player/202331/traditional/" TargetMode="External"/><Relationship Id="rId49" Type="http://schemas.openxmlformats.org/officeDocument/2006/relationships/hyperlink" Target="https://www.nba.com/player/1628983/traditional/" TargetMode="External"/><Relationship Id="rId57" Type="http://schemas.openxmlformats.org/officeDocument/2006/relationships/hyperlink" Target="https://www.nba.com/player/1627749/traditional/" TargetMode="External"/><Relationship Id="rId10" Type="http://schemas.openxmlformats.org/officeDocument/2006/relationships/hyperlink" Target="https://www.nba.com/player/203076/traditional/" TargetMode="External"/><Relationship Id="rId31" Type="http://schemas.openxmlformats.org/officeDocument/2006/relationships/hyperlink" Target="https://www.nba.com/player/201142/traditional/" TargetMode="External"/><Relationship Id="rId44" Type="http://schemas.openxmlformats.org/officeDocument/2006/relationships/hyperlink" Target="https://www.nba.com/player/1626164/traditional/" TargetMode="External"/><Relationship Id="rId52" Type="http://schemas.openxmlformats.org/officeDocument/2006/relationships/hyperlink" Target="https://www.nba.com/player/1630163/traditional/" TargetMode="External"/><Relationship Id="rId60" Type="http://schemas.openxmlformats.org/officeDocument/2006/relationships/hyperlink" Target="https://www.nba.com/player/1626174/tradition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F573-5752-3A48-9107-E5A2AE4EB5BE}">
  <dimension ref="A1:I19"/>
  <sheetViews>
    <sheetView workbookViewId="0">
      <selection sqref="A1:I22"/>
    </sheetView>
  </sheetViews>
  <sheetFormatPr baseColWidth="10" defaultRowHeight="16" x14ac:dyDescent="0.2"/>
  <sheetData>
    <row r="1" spans="1:9" x14ac:dyDescent="0.2">
      <c r="A1" t="s">
        <v>91</v>
      </c>
    </row>
    <row r="2" spans="1:9" ht="17" thickBot="1" x14ac:dyDescent="0.25"/>
    <row r="3" spans="1:9" x14ac:dyDescent="0.2">
      <c r="A3" s="10" t="s">
        <v>92</v>
      </c>
      <c r="B3" s="10"/>
    </row>
    <row r="4" spans="1:9" x14ac:dyDescent="0.2">
      <c r="A4" s="7" t="s">
        <v>93</v>
      </c>
      <c r="B4" s="7">
        <v>0.73410774894032693</v>
      </c>
    </row>
    <row r="5" spans="1:9" x14ac:dyDescent="0.2">
      <c r="A5" s="7" t="s">
        <v>94</v>
      </c>
      <c r="B5" s="7">
        <v>0.53891418705423411</v>
      </c>
    </row>
    <row r="6" spans="1:9" x14ac:dyDescent="0.2">
      <c r="A6" s="7" t="s">
        <v>95</v>
      </c>
      <c r="B6" s="7">
        <v>0.50475968239158475</v>
      </c>
    </row>
    <row r="7" spans="1:9" x14ac:dyDescent="0.2">
      <c r="A7" s="7" t="s">
        <v>96</v>
      </c>
      <c r="B7" s="7">
        <v>2.2847016018902595</v>
      </c>
    </row>
    <row r="8" spans="1:9" ht="17" thickBot="1" x14ac:dyDescent="0.25">
      <c r="A8" s="8" t="s">
        <v>97</v>
      </c>
      <c r="B8" s="8">
        <v>30</v>
      </c>
    </row>
    <row r="10" spans="1:9" ht="17" thickBot="1" x14ac:dyDescent="0.25">
      <c r="A10" t="s">
        <v>98</v>
      </c>
    </row>
    <row r="11" spans="1:9" x14ac:dyDescent="0.2">
      <c r="A11" s="9"/>
      <c r="B11" s="9" t="s">
        <v>103</v>
      </c>
      <c r="C11" s="9" t="s">
        <v>104</v>
      </c>
      <c r="D11" s="9" t="s">
        <v>105</v>
      </c>
      <c r="E11" s="9" t="s">
        <v>106</v>
      </c>
      <c r="F11" s="9" t="s">
        <v>107</v>
      </c>
    </row>
    <row r="12" spans="1:9" x14ac:dyDescent="0.2">
      <c r="A12" s="7" t="s">
        <v>99</v>
      </c>
      <c r="B12" s="7">
        <v>2</v>
      </c>
      <c r="C12" s="7">
        <v>164.72540860530898</v>
      </c>
      <c r="D12" s="7">
        <v>82.362704302654492</v>
      </c>
      <c r="E12" s="7">
        <v>15.77871476624223</v>
      </c>
      <c r="F12" s="7">
        <v>2.891037706760996E-5</v>
      </c>
    </row>
    <row r="13" spans="1:9" x14ac:dyDescent="0.2">
      <c r="A13" s="7" t="s">
        <v>100</v>
      </c>
      <c r="B13" s="7">
        <v>27</v>
      </c>
      <c r="C13" s="7">
        <v>140.93625806135776</v>
      </c>
      <c r="D13" s="7">
        <v>5.2198614096799174</v>
      </c>
      <c r="E13" s="7"/>
      <c r="F13" s="7"/>
    </row>
    <row r="14" spans="1:9" ht="17" thickBot="1" x14ac:dyDescent="0.25">
      <c r="A14" s="8" t="s">
        <v>101</v>
      </c>
      <c r="B14" s="8">
        <v>29</v>
      </c>
      <c r="C14" s="8">
        <v>305.66166666666675</v>
      </c>
      <c r="D14" s="8"/>
      <c r="E14" s="8"/>
      <c r="F14" s="8"/>
    </row>
    <row r="15" spans="1:9" ht="17" thickBot="1" x14ac:dyDescent="0.25"/>
    <row r="16" spans="1:9" x14ac:dyDescent="0.2">
      <c r="A16" s="9"/>
      <c r="B16" s="9" t="s">
        <v>108</v>
      </c>
      <c r="C16" s="9" t="s">
        <v>96</v>
      </c>
      <c r="D16" s="9" t="s">
        <v>109</v>
      </c>
      <c r="E16" s="9" t="s">
        <v>110</v>
      </c>
      <c r="F16" s="9" t="s">
        <v>111</v>
      </c>
      <c r="G16" s="9" t="s">
        <v>112</v>
      </c>
      <c r="H16" s="9" t="s">
        <v>113</v>
      </c>
      <c r="I16" s="9" t="s">
        <v>114</v>
      </c>
    </row>
    <row r="17" spans="1:9" x14ac:dyDescent="0.2">
      <c r="A17" s="7" t="s">
        <v>102</v>
      </c>
      <c r="B17" s="7">
        <v>11.748236096365662</v>
      </c>
      <c r="C17" s="7">
        <v>10.028022788879003</v>
      </c>
      <c r="D17" s="7">
        <v>1.1715406260738022</v>
      </c>
      <c r="E17" s="7">
        <v>0.25161655059661603</v>
      </c>
      <c r="F17" s="7">
        <v>-8.8275670818160208</v>
      </c>
      <c r="G17" s="7">
        <v>32.324039274547346</v>
      </c>
      <c r="H17" s="7">
        <v>-8.8275670818160208</v>
      </c>
      <c r="I17" s="7">
        <v>32.324039274547346</v>
      </c>
    </row>
    <row r="18" spans="1:9" x14ac:dyDescent="0.2">
      <c r="A18" s="7" t="s">
        <v>32</v>
      </c>
      <c r="B18" s="7">
        <v>-0.26986709303233525</v>
      </c>
      <c r="C18" s="7">
        <v>0.28976073624503496</v>
      </c>
      <c r="D18" s="7">
        <v>-0.93134458632836736</v>
      </c>
      <c r="E18" s="7">
        <v>0.35992889732773914</v>
      </c>
      <c r="F18" s="7">
        <v>-0.86440701413769327</v>
      </c>
      <c r="G18" s="7">
        <v>0.32467282807302278</v>
      </c>
      <c r="H18" s="7">
        <v>-0.86440701413769327</v>
      </c>
      <c r="I18" s="7">
        <v>0.32467282807302278</v>
      </c>
    </row>
    <row r="19" spans="1:9" ht="17" thickBot="1" x14ac:dyDescent="0.25">
      <c r="A19" s="8" t="s">
        <v>35</v>
      </c>
      <c r="B19" s="8">
        <v>1.1226762115283262</v>
      </c>
      <c r="C19" s="8">
        <v>0.19985260975739969</v>
      </c>
      <c r="D19" s="8">
        <v>5.6175208964803538</v>
      </c>
      <c r="E19" s="8">
        <v>5.8289191518674912E-6</v>
      </c>
      <c r="F19" s="8">
        <v>0.71261252802986785</v>
      </c>
      <c r="G19" s="8">
        <v>1.5327398950267845</v>
      </c>
      <c r="H19" s="8">
        <v>0.71261252802986785</v>
      </c>
      <c r="I19" s="8">
        <v>1.5327398950267845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6396-C57F-3246-A70F-796B3F391999}">
  <dimension ref="A1:I56"/>
  <sheetViews>
    <sheetView workbookViewId="0">
      <selection sqref="A1:I56"/>
    </sheetView>
  </sheetViews>
  <sheetFormatPr baseColWidth="10" defaultRowHeight="16" x14ac:dyDescent="0.2"/>
  <sheetData>
    <row r="1" spans="1:9" x14ac:dyDescent="0.2">
      <c r="A1" t="s">
        <v>91</v>
      </c>
    </row>
    <row r="2" spans="1:9" ht="17" thickBot="1" x14ac:dyDescent="0.25"/>
    <row r="3" spans="1:9" x14ac:dyDescent="0.2">
      <c r="A3" s="10" t="s">
        <v>92</v>
      </c>
      <c r="B3" s="10"/>
    </row>
    <row r="4" spans="1:9" x14ac:dyDescent="0.2">
      <c r="A4" s="7" t="s">
        <v>93</v>
      </c>
      <c r="B4" s="7">
        <v>0.6006343052967219</v>
      </c>
    </row>
    <row r="5" spans="1:9" x14ac:dyDescent="0.2">
      <c r="A5" s="7" t="s">
        <v>94</v>
      </c>
      <c r="B5" s="7">
        <v>0.36076156869927573</v>
      </c>
    </row>
    <row r="6" spans="1:9" x14ac:dyDescent="0.2">
      <c r="A6" s="7" t="s">
        <v>95</v>
      </c>
      <c r="B6" s="7">
        <v>0.28700328816457676</v>
      </c>
    </row>
    <row r="7" spans="1:9" x14ac:dyDescent="0.2">
      <c r="A7" s="7" t="s">
        <v>96</v>
      </c>
      <c r="B7" s="7">
        <v>3.3683323201752926</v>
      </c>
    </row>
    <row r="8" spans="1:9" ht="17" thickBot="1" x14ac:dyDescent="0.25">
      <c r="A8" s="8" t="s">
        <v>97</v>
      </c>
      <c r="B8" s="8">
        <v>30</v>
      </c>
    </row>
    <row r="10" spans="1:9" ht="17" thickBot="1" x14ac:dyDescent="0.25">
      <c r="A10" t="s">
        <v>98</v>
      </c>
    </row>
    <row r="11" spans="1:9" x14ac:dyDescent="0.2">
      <c r="A11" s="9"/>
      <c r="B11" s="9" t="s">
        <v>103</v>
      </c>
      <c r="C11" s="9" t="s">
        <v>104</v>
      </c>
      <c r="D11" s="9" t="s">
        <v>105</v>
      </c>
      <c r="E11" s="9" t="s">
        <v>106</v>
      </c>
      <c r="F11" s="9" t="s">
        <v>107</v>
      </c>
    </row>
    <row r="12" spans="1:9" x14ac:dyDescent="0.2">
      <c r="A12" s="7" t="s">
        <v>99</v>
      </c>
      <c r="B12" s="7">
        <v>3</v>
      </c>
      <c r="C12" s="7">
        <v>166.47943856909245</v>
      </c>
      <c r="D12" s="7">
        <v>55.493146189697484</v>
      </c>
      <c r="E12" s="7">
        <v>4.8911331186680593</v>
      </c>
      <c r="F12" s="7">
        <v>7.9285474866626609E-3</v>
      </c>
    </row>
    <row r="13" spans="1:9" x14ac:dyDescent="0.2">
      <c r="A13" s="7" t="s">
        <v>100</v>
      </c>
      <c r="B13" s="7">
        <v>26</v>
      </c>
      <c r="C13" s="7">
        <v>294.98722809757425</v>
      </c>
      <c r="D13" s="7">
        <v>11.345662619137471</v>
      </c>
      <c r="E13" s="7"/>
      <c r="F13" s="7"/>
    </row>
    <row r="14" spans="1:9" ht="17" thickBot="1" x14ac:dyDescent="0.25">
      <c r="A14" s="8" t="s">
        <v>101</v>
      </c>
      <c r="B14" s="8">
        <v>29</v>
      </c>
      <c r="C14" s="8">
        <v>461.4666666666667</v>
      </c>
      <c r="D14" s="8"/>
      <c r="E14" s="8"/>
      <c r="F14" s="8"/>
    </row>
    <row r="15" spans="1:9" ht="17" thickBot="1" x14ac:dyDescent="0.25"/>
    <row r="16" spans="1:9" x14ac:dyDescent="0.2">
      <c r="A16" s="9"/>
      <c r="B16" s="9" t="s">
        <v>108</v>
      </c>
      <c r="C16" s="9" t="s">
        <v>96</v>
      </c>
      <c r="D16" s="9" t="s">
        <v>109</v>
      </c>
      <c r="E16" s="9" t="s">
        <v>110</v>
      </c>
      <c r="F16" s="9" t="s">
        <v>111</v>
      </c>
      <c r="G16" s="9" t="s">
        <v>112</v>
      </c>
      <c r="H16" s="9" t="s">
        <v>113</v>
      </c>
      <c r="I16" s="9" t="s">
        <v>114</v>
      </c>
    </row>
    <row r="17" spans="1:9" x14ac:dyDescent="0.2">
      <c r="A17" s="7" t="s">
        <v>102</v>
      </c>
      <c r="B17" s="7">
        <v>-5.8597391964939209</v>
      </c>
      <c r="C17" s="7">
        <v>4.5673454485666163</v>
      </c>
      <c r="D17" s="7">
        <v>-1.2829638709138806</v>
      </c>
      <c r="E17" s="7">
        <v>0.21082395057181524</v>
      </c>
      <c r="F17" s="7">
        <v>-15.248052222474138</v>
      </c>
      <c r="G17" s="7">
        <v>3.5285738294862963</v>
      </c>
      <c r="H17" s="7">
        <v>-15.248052222474138</v>
      </c>
      <c r="I17" s="7">
        <v>3.5285738294862963</v>
      </c>
    </row>
    <row r="18" spans="1:9" x14ac:dyDescent="0.2">
      <c r="A18" s="7" t="s">
        <v>128</v>
      </c>
      <c r="B18" s="7">
        <v>0.78456908405591053</v>
      </c>
      <c r="C18" s="7">
        <v>0.30539714170313526</v>
      </c>
      <c r="D18" s="7">
        <v>2.5690125312913366</v>
      </c>
      <c r="E18" s="7">
        <v>1.6287183695748286E-2</v>
      </c>
      <c r="F18" s="7">
        <v>0.15681626880772692</v>
      </c>
      <c r="G18" s="7">
        <v>1.4123218993040942</v>
      </c>
      <c r="H18" s="7">
        <v>0.15681626880772692</v>
      </c>
      <c r="I18" s="7">
        <v>1.4123218993040942</v>
      </c>
    </row>
    <row r="19" spans="1:9" x14ac:dyDescent="0.2">
      <c r="A19" s="7" t="s">
        <v>127</v>
      </c>
      <c r="B19" s="7">
        <v>0.93495197284694231</v>
      </c>
      <c r="C19" s="7">
        <v>0.27120562173783247</v>
      </c>
      <c r="D19" s="7">
        <v>3.4473915653221101</v>
      </c>
      <c r="E19" s="7">
        <v>1.9382660136766149E-3</v>
      </c>
      <c r="F19" s="7">
        <v>0.37748083343938421</v>
      </c>
      <c r="G19" s="7">
        <v>1.4924231122545004</v>
      </c>
      <c r="H19" s="7">
        <v>0.37748083343938421</v>
      </c>
      <c r="I19" s="7">
        <v>1.4924231122545004</v>
      </c>
    </row>
    <row r="20" spans="1:9" ht="17" thickBot="1" x14ac:dyDescent="0.25">
      <c r="A20" s="8" t="s">
        <v>40</v>
      </c>
      <c r="B20" s="8">
        <v>0.36676845781135836</v>
      </c>
      <c r="C20" s="8">
        <v>0.57382089380071932</v>
      </c>
      <c r="D20" s="8">
        <v>0.63916887965172697</v>
      </c>
      <c r="E20" s="8">
        <v>0.52830461170472331</v>
      </c>
      <c r="F20" s="8">
        <v>-0.81273728190438588</v>
      </c>
      <c r="G20" s="8">
        <v>1.5462741975271026</v>
      </c>
      <c r="H20" s="8">
        <v>-0.81273728190438588</v>
      </c>
      <c r="I20" s="8">
        <v>1.5462741975271026</v>
      </c>
    </row>
    <row r="24" spans="1:9" x14ac:dyDescent="0.2">
      <c r="A24" t="s">
        <v>129</v>
      </c>
    </row>
    <row r="25" spans="1:9" ht="17" thickBot="1" x14ac:dyDescent="0.25"/>
    <row r="26" spans="1:9" x14ac:dyDescent="0.2">
      <c r="A26" s="9" t="s">
        <v>130</v>
      </c>
      <c r="B26" s="9" t="s">
        <v>131</v>
      </c>
      <c r="C26" s="9" t="s">
        <v>132</v>
      </c>
    </row>
    <row r="27" spans="1:9" x14ac:dyDescent="0.2">
      <c r="A27" s="7">
        <v>1</v>
      </c>
      <c r="B27" s="7">
        <v>15.00777222455228</v>
      </c>
      <c r="C27" s="7">
        <v>-7.7722245522799938E-3</v>
      </c>
    </row>
    <row r="28" spans="1:9" x14ac:dyDescent="0.2">
      <c r="A28" s="7">
        <v>2</v>
      </c>
      <c r="B28" s="7">
        <v>16.752958479478036</v>
      </c>
      <c r="C28" s="7">
        <v>1.2470415205219645</v>
      </c>
    </row>
    <row r="29" spans="1:9" x14ac:dyDescent="0.2">
      <c r="A29" s="7">
        <v>3</v>
      </c>
      <c r="B29" s="7">
        <v>13.407806735372208</v>
      </c>
      <c r="C29" s="7">
        <v>0.59219326462779165</v>
      </c>
    </row>
    <row r="30" spans="1:9" x14ac:dyDescent="0.2">
      <c r="A30" s="7">
        <v>4</v>
      </c>
      <c r="B30" s="7">
        <v>13.903525982161124</v>
      </c>
      <c r="C30" s="7">
        <v>-1.9035259821611241</v>
      </c>
    </row>
    <row r="31" spans="1:9" x14ac:dyDescent="0.2">
      <c r="A31" s="7">
        <v>5</v>
      </c>
      <c r="B31" s="7">
        <v>12.145826592857038</v>
      </c>
      <c r="C31" s="7">
        <v>1.8541734071429623</v>
      </c>
    </row>
    <row r="32" spans="1:9" x14ac:dyDescent="0.2">
      <c r="A32" s="7">
        <v>6</v>
      </c>
      <c r="B32" s="7">
        <v>14.097728708057929</v>
      </c>
      <c r="C32" s="7">
        <v>-3.0977287080579288</v>
      </c>
    </row>
    <row r="33" spans="1:3" x14ac:dyDescent="0.2">
      <c r="A33" s="7">
        <v>7</v>
      </c>
      <c r="B33" s="7">
        <v>13.31254156233727</v>
      </c>
      <c r="C33" s="7">
        <v>-3.3125415623372696</v>
      </c>
    </row>
    <row r="34" spans="1:3" x14ac:dyDescent="0.2">
      <c r="A34" s="7">
        <v>8</v>
      </c>
      <c r="B34" s="7">
        <v>13.984363366701665</v>
      </c>
      <c r="C34" s="7">
        <v>-2.9843633667016647</v>
      </c>
    </row>
    <row r="35" spans="1:3" x14ac:dyDescent="0.2">
      <c r="A35" s="7">
        <v>9</v>
      </c>
      <c r="B35" s="7">
        <v>12.585068189796033</v>
      </c>
      <c r="C35" s="7">
        <v>-0.58506818979603281</v>
      </c>
    </row>
    <row r="36" spans="1:3" x14ac:dyDescent="0.2">
      <c r="A36" s="7">
        <v>10</v>
      </c>
      <c r="B36" s="7">
        <v>11.505646194513456</v>
      </c>
      <c r="C36" s="7">
        <v>0.49435380548654351</v>
      </c>
    </row>
    <row r="37" spans="1:3" x14ac:dyDescent="0.2">
      <c r="A37" s="7">
        <v>11</v>
      </c>
      <c r="B37" s="7">
        <v>11.769873806319946</v>
      </c>
      <c r="C37" s="7">
        <v>-0.7698738063199464</v>
      </c>
    </row>
    <row r="38" spans="1:3" x14ac:dyDescent="0.2">
      <c r="A38" s="7">
        <v>12</v>
      </c>
      <c r="B38" s="7">
        <v>12.267905752160816</v>
      </c>
      <c r="C38" s="7">
        <v>-1.2679057521608161</v>
      </c>
    </row>
    <row r="39" spans="1:3" x14ac:dyDescent="0.2">
      <c r="A39" s="7">
        <v>13</v>
      </c>
      <c r="B39" s="7">
        <v>9.7448260195651208</v>
      </c>
      <c r="C39" s="7">
        <v>3.2551739804348792</v>
      </c>
    </row>
    <row r="40" spans="1:3" x14ac:dyDescent="0.2">
      <c r="A40" s="7">
        <v>14</v>
      </c>
      <c r="B40" s="7">
        <v>11.957614944199378</v>
      </c>
      <c r="C40" s="7">
        <v>6.0423850558006222</v>
      </c>
    </row>
    <row r="41" spans="1:3" x14ac:dyDescent="0.2">
      <c r="A41" s="7">
        <v>15</v>
      </c>
      <c r="B41" s="7">
        <v>12.438972869975977</v>
      </c>
      <c r="C41" s="7">
        <v>8.5610271300240228</v>
      </c>
    </row>
    <row r="42" spans="1:3" x14ac:dyDescent="0.2">
      <c r="A42" s="7">
        <v>16</v>
      </c>
      <c r="B42" s="7">
        <v>11.21284948992912</v>
      </c>
      <c r="C42" s="7">
        <v>2.7871505100708802</v>
      </c>
    </row>
    <row r="43" spans="1:3" x14ac:dyDescent="0.2">
      <c r="A43" s="7">
        <v>17</v>
      </c>
      <c r="B43" s="7">
        <v>10.551852180916113</v>
      </c>
      <c r="C43" s="7">
        <v>-4.5518521809161125</v>
      </c>
    </row>
    <row r="44" spans="1:3" x14ac:dyDescent="0.2">
      <c r="A44" s="7">
        <v>18</v>
      </c>
      <c r="B44" s="7">
        <v>10.558729808950158</v>
      </c>
      <c r="C44" s="7">
        <v>0.441270191049842</v>
      </c>
    </row>
    <row r="45" spans="1:3" x14ac:dyDescent="0.2">
      <c r="A45" s="7">
        <v>19</v>
      </c>
      <c r="B45" s="7">
        <v>9.9606717378044465</v>
      </c>
      <c r="C45" s="7">
        <v>-3.9606717378044465</v>
      </c>
    </row>
    <row r="46" spans="1:3" x14ac:dyDescent="0.2">
      <c r="A46" s="7">
        <v>20</v>
      </c>
      <c r="B46" s="7">
        <v>9.8106295506670467</v>
      </c>
      <c r="C46" s="7">
        <v>-0.81062955066704667</v>
      </c>
    </row>
    <row r="47" spans="1:3" x14ac:dyDescent="0.2">
      <c r="A47" s="7">
        <v>21</v>
      </c>
      <c r="B47" s="7">
        <v>8.8954090418861131</v>
      </c>
      <c r="C47" s="7">
        <v>0.10459095811388686</v>
      </c>
    </row>
    <row r="48" spans="1:3" x14ac:dyDescent="0.2">
      <c r="A48" s="7">
        <v>22</v>
      </c>
      <c r="B48" s="7">
        <v>10.132148897276021</v>
      </c>
      <c r="C48" s="7">
        <v>2.8678511027239786</v>
      </c>
    </row>
    <row r="49" spans="1:3" x14ac:dyDescent="0.2">
      <c r="A49" s="7">
        <v>23</v>
      </c>
      <c r="B49" s="7">
        <v>9.5507648461945784</v>
      </c>
      <c r="C49" s="7">
        <v>-4.5507648461945784</v>
      </c>
    </row>
    <row r="50" spans="1:3" x14ac:dyDescent="0.2">
      <c r="A50" s="7">
        <v>24</v>
      </c>
      <c r="B50" s="7">
        <v>10.028787967958325</v>
      </c>
      <c r="C50" s="7">
        <v>-1.0287879679583245</v>
      </c>
    </row>
    <row r="51" spans="1:3" x14ac:dyDescent="0.2">
      <c r="A51" s="7">
        <v>25</v>
      </c>
      <c r="B51" s="7">
        <v>8.2042024734696017</v>
      </c>
      <c r="C51" s="7">
        <v>-4.2042024734696017</v>
      </c>
    </row>
    <row r="52" spans="1:3" x14ac:dyDescent="0.2">
      <c r="A52" s="7">
        <v>26</v>
      </c>
      <c r="B52" s="7">
        <v>8.7422400707441987</v>
      </c>
      <c r="C52" s="7">
        <v>2.2577599292558013</v>
      </c>
    </row>
    <row r="53" spans="1:3" x14ac:dyDescent="0.2">
      <c r="A53" s="7">
        <v>27</v>
      </c>
      <c r="B53" s="7">
        <v>8.9933244897870797</v>
      </c>
      <c r="C53" s="7">
        <v>-2.9933244897870797</v>
      </c>
    </row>
    <row r="54" spans="1:3" x14ac:dyDescent="0.2">
      <c r="A54" s="7">
        <v>28</v>
      </c>
      <c r="B54" s="7">
        <v>9.0706310470269589</v>
      </c>
      <c r="C54" s="7">
        <v>2.9293689529730411</v>
      </c>
    </row>
    <row r="55" spans="1:3" x14ac:dyDescent="0.2">
      <c r="A55" s="7">
        <v>29</v>
      </c>
      <c r="B55" s="7">
        <v>6.9961792617440688</v>
      </c>
      <c r="C55" s="7">
        <v>4.0038207382559312</v>
      </c>
    </row>
    <row r="56" spans="1:3" ht="17" thickBot="1" x14ac:dyDescent="0.25">
      <c r="A56" s="8">
        <v>30</v>
      </c>
      <c r="B56" s="8">
        <v>6.4091477075978194</v>
      </c>
      <c r="C56" s="8">
        <v>-1.4091477075978194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BDAC-D6C9-5A43-889D-B9A35DF7EAD8}">
  <dimension ref="A1:I56"/>
  <sheetViews>
    <sheetView workbookViewId="0">
      <selection activeCell="L26" sqref="L26"/>
    </sheetView>
  </sheetViews>
  <sheetFormatPr baseColWidth="10" defaultRowHeight="16" x14ac:dyDescent="0.2"/>
  <sheetData>
    <row r="1" spans="1:9" x14ac:dyDescent="0.2">
      <c r="A1" t="s">
        <v>91</v>
      </c>
    </row>
    <row r="2" spans="1:9" ht="17" thickBot="1" x14ac:dyDescent="0.25"/>
    <row r="3" spans="1:9" x14ac:dyDescent="0.2">
      <c r="A3" s="10" t="s">
        <v>92</v>
      </c>
      <c r="B3" s="10"/>
    </row>
    <row r="4" spans="1:9" x14ac:dyDescent="0.2">
      <c r="A4" s="7" t="s">
        <v>93</v>
      </c>
      <c r="B4" s="7">
        <v>0.99971598087368996</v>
      </c>
    </row>
    <row r="5" spans="1:9" x14ac:dyDescent="0.2">
      <c r="A5" s="7" t="s">
        <v>94</v>
      </c>
      <c r="B5" s="7">
        <v>0.9994320424142441</v>
      </c>
    </row>
    <row r="6" spans="1:9" x14ac:dyDescent="0.2">
      <c r="A6" s="7" t="s">
        <v>95</v>
      </c>
      <c r="B6" s="7">
        <v>0.9993665088466569</v>
      </c>
    </row>
    <row r="7" spans="1:9" x14ac:dyDescent="0.2">
      <c r="A7" s="7" t="s">
        <v>96</v>
      </c>
      <c r="B7" s="7">
        <v>8.1713115004710998E-2</v>
      </c>
    </row>
    <row r="8" spans="1:9" ht="17" thickBot="1" x14ac:dyDescent="0.25">
      <c r="A8" s="8" t="s">
        <v>97</v>
      </c>
      <c r="B8" s="8">
        <v>30</v>
      </c>
    </row>
    <row r="10" spans="1:9" ht="17" thickBot="1" x14ac:dyDescent="0.25">
      <c r="A10" t="s">
        <v>98</v>
      </c>
    </row>
    <row r="11" spans="1:9" x14ac:dyDescent="0.2">
      <c r="A11" s="9"/>
      <c r="B11" s="9" t="s">
        <v>103</v>
      </c>
      <c r="C11" s="9" t="s">
        <v>104</v>
      </c>
      <c r="D11" s="9" t="s">
        <v>105</v>
      </c>
      <c r="E11" s="9" t="s">
        <v>106</v>
      </c>
      <c r="F11" s="9" t="s">
        <v>107</v>
      </c>
    </row>
    <row r="12" spans="1:9" x14ac:dyDescent="0.2">
      <c r="A12" s="7" t="s">
        <v>99</v>
      </c>
      <c r="B12" s="7">
        <v>3</v>
      </c>
      <c r="C12" s="7">
        <v>305.48806380440863</v>
      </c>
      <c r="D12" s="7">
        <v>101.82935460146955</v>
      </c>
      <c r="E12" s="7">
        <v>15250.688757089652</v>
      </c>
      <c r="F12" s="7">
        <v>2.6769143591296802E-42</v>
      </c>
    </row>
    <row r="13" spans="1:9" x14ac:dyDescent="0.2">
      <c r="A13" s="7" t="s">
        <v>100</v>
      </c>
      <c r="B13" s="7">
        <v>26</v>
      </c>
      <c r="C13" s="7">
        <v>0.17360286225810126</v>
      </c>
      <c r="D13" s="7">
        <v>6.677033163773125E-3</v>
      </c>
      <c r="E13" s="7"/>
      <c r="F13" s="7"/>
    </row>
    <row r="14" spans="1:9" ht="17" thickBot="1" x14ac:dyDescent="0.25">
      <c r="A14" s="8" t="s">
        <v>101</v>
      </c>
      <c r="B14" s="8">
        <v>29</v>
      </c>
      <c r="C14" s="8">
        <v>305.66166666666675</v>
      </c>
      <c r="D14" s="8"/>
      <c r="E14" s="8"/>
      <c r="F14" s="8"/>
    </row>
    <row r="15" spans="1:9" ht="17" thickBot="1" x14ac:dyDescent="0.25"/>
    <row r="16" spans="1:9" x14ac:dyDescent="0.2">
      <c r="A16" s="9"/>
      <c r="B16" s="9" t="s">
        <v>108</v>
      </c>
      <c r="C16" s="9" t="s">
        <v>96</v>
      </c>
      <c r="D16" s="9" t="s">
        <v>109</v>
      </c>
      <c r="E16" s="9" t="s">
        <v>110</v>
      </c>
      <c r="F16" s="9" t="s">
        <v>111</v>
      </c>
      <c r="G16" s="9" t="s">
        <v>112</v>
      </c>
      <c r="H16" s="9" t="s">
        <v>113</v>
      </c>
      <c r="I16" s="9" t="s">
        <v>114</v>
      </c>
    </row>
    <row r="17" spans="1:9" x14ac:dyDescent="0.2">
      <c r="A17" s="7" t="s">
        <v>102</v>
      </c>
      <c r="B17" s="7">
        <v>1.9578367472245617E-2</v>
      </c>
      <c r="C17" s="7">
        <v>0.11080023834629971</v>
      </c>
      <c r="D17" s="7">
        <v>0.17669968733329405</v>
      </c>
      <c r="E17" s="7">
        <v>0.86111352133693386</v>
      </c>
      <c r="F17" s="7">
        <v>-0.20817478425722036</v>
      </c>
      <c r="G17" s="7">
        <v>0.24733151920171159</v>
      </c>
      <c r="H17" s="7">
        <v>-0.20817478425722036</v>
      </c>
      <c r="I17" s="7">
        <v>0.24733151920171159</v>
      </c>
    </row>
    <row r="18" spans="1:9" x14ac:dyDescent="0.2">
      <c r="A18" s="7" t="s">
        <v>128</v>
      </c>
      <c r="B18" s="7">
        <v>0.99841587788316011</v>
      </c>
      <c r="C18" s="7">
        <v>7.4086964675740847E-3</v>
      </c>
      <c r="D18" s="7">
        <v>134.76269168982205</v>
      </c>
      <c r="E18" s="7">
        <v>1.6155926501639977E-38</v>
      </c>
      <c r="F18" s="7">
        <v>0.98318708419209211</v>
      </c>
      <c r="G18" s="7">
        <v>1.013644671574228</v>
      </c>
      <c r="H18" s="7">
        <v>0.98318708419209211</v>
      </c>
      <c r="I18" s="7">
        <v>1.013644671574228</v>
      </c>
    </row>
    <row r="19" spans="1:9" x14ac:dyDescent="0.2">
      <c r="A19" s="7" t="s">
        <v>127</v>
      </c>
      <c r="B19" s="7">
        <v>0.99739859049816415</v>
      </c>
      <c r="C19" s="7">
        <v>6.5792368604040714E-3</v>
      </c>
      <c r="D19" s="7">
        <v>151.59791502580251</v>
      </c>
      <c r="E19" s="7">
        <v>7.5989296420543263E-40</v>
      </c>
      <c r="F19" s="7">
        <v>0.98387477544779922</v>
      </c>
      <c r="G19" s="7">
        <v>1.0109224055485291</v>
      </c>
      <c r="H19" s="7">
        <v>0.98387477544779922</v>
      </c>
      <c r="I19" s="7">
        <v>1.0109224055485291</v>
      </c>
    </row>
    <row r="20" spans="1:9" ht="17" thickBot="1" x14ac:dyDescent="0.25">
      <c r="A20" s="8" t="s">
        <v>40</v>
      </c>
      <c r="B20" s="8">
        <v>1.0006990579327757</v>
      </c>
      <c r="C20" s="8">
        <v>1.3920447340185268E-2</v>
      </c>
      <c r="D20" s="8">
        <v>71.886989942052921</v>
      </c>
      <c r="E20" s="8">
        <v>1.9262021915627291E-31</v>
      </c>
      <c r="F20" s="8">
        <v>0.97208516862594696</v>
      </c>
      <c r="G20" s="8">
        <v>1.0293129472396043</v>
      </c>
      <c r="H20" s="8">
        <v>0.97208516862594696</v>
      </c>
      <c r="I20" s="8">
        <v>1.0293129472396043</v>
      </c>
    </row>
    <row r="24" spans="1:9" x14ac:dyDescent="0.2">
      <c r="A24" t="s">
        <v>129</v>
      </c>
    </row>
    <row r="25" spans="1:9" ht="17" thickBot="1" x14ac:dyDescent="0.25"/>
    <row r="26" spans="1:9" x14ac:dyDescent="0.2">
      <c r="A26" s="9" t="s">
        <v>130</v>
      </c>
      <c r="B26" s="9" t="s">
        <v>133</v>
      </c>
      <c r="C26" s="9" t="s">
        <v>132</v>
      </c>
    </row>
    <row r="27" spans="1:9" x14ac:dyDescent="0.2">
      <c r="A27" s="7">
        <v>1</v>
      </c>
      <c r="B27" s="7">
        <v>28.682014604922152</v>
      </c>
      <c r="C27" s="7">
        <v>-8.2014604922150625E-2</v>
      </c>
    </row>
    <row r="28" spans="1:9" x14ac:dyDescent="0.2">
      <c r="A28" s="7">
        <v>2</v>
      </c>
      <c r="B28" s="7">
        <v>27.868262342978902</v>
      </c>
      <c r="C28" s="7">
        <v>-6.8262342978901103E-2</v>
      </c>
    </row>
    <row r="29" spans="1:9" x14ac:dyDescent="0.2">
      <c r="A29" s="7">
        <v>3</v>
      </c>
      <c r="B29" s="7">
        <v>27.588253491019326</v>
      </c>
      <c r="C29" s="7">
        <v>1.1746508980674975E-2</v>
      </c>
    </row>
    <row r="30" spans="1:9" x14ac:dyDescent="0.2">
      <c r="A30" s="7">
        <v>4</v>
      </c>
      <c r="B30" s="7">
        <v>26.28109182822897</v>
      </c>
      <c r="C30" s="7">
        <v>1.8908171771030879E-2</v>
      </c>
    </row>
    <row r="31" spans="1:9" x14ac:dyDescent="0.2">
      <c r="A31" s="7">
        <v>5</v>
      </c>
      <c r="B31" s="7">
        <v>25.990941822827342</v>
      </c>
      <c r="C31" s="7">
        <v>-9.0941822827343088E-2</v>
      </c>
    </row>
    <row r="32" spans="1:9" x14ac:dyDescent="0.2">
      <c r="A32" s="7">
        <v>6</v>
      </c>
      <c r="B32" s="7">
        <v>25.87883192459509</v>
      </c>
      <c r="C32" s="7">
        <v>2.1168075404908393E-2</v>
      </c>
    </row>
    <row r="33" spans="1:3" x14ac:dyDescent="0.2">
      <c r="A33" s="7">
        <v>7</v>
      </c>
      <c r="B33" s="7">
        <v>25.683344487824904</v>
      </c>
      <c r="C33" s="7">
        <v>1.6655512175095311E-2</v>
      </c>
    </row>
    <row r="34" spans="1:3" x14ac:dyDescent="0.2">
      <c r="A34" s="7">
        <v>8</v>
      </c>
      <c r="B34" s="7">
        <v>25.578699075425792</v>
      </c>
      <c r="C34" s="7">
        <v>2.130092457420929E-2</v>
      </c>
    </row>
    <row r="35" spans="1:3" x14ac:dyDescent="0.2">
      <c r="A35" s="7">
        <v>9</v>
      </c>
      <c r="B35" s="7">
        <v>24.282890164432875</v>
      </c>
      <c r="C35" s="7">
        <v>0.11710983556712407</v>
      </c>
    </row>
    <row r="36" spans="1:3" x14ac:dyDescent="0.2">
      <c r="A36" s="7">
        <v>10</v>
      </c>
      <c r="B36" s="7">
        <v>24.290137765394306</v>
      </c>
      <c r="C36" s="7">
        <v>9.8622346056949084E-3</v>
      </c>
    </row>
    <row r="37" spans="1:3" x14ac:dyDescent="0.2">
      <c r="A37" s="7">
        <v>11</v>
      </c>
      <c r="B37" s="7">
        <v>23.987179085448343</v>
      </c>
      <c r="C37" s="7">
        <v>0.11282091455165855</v>
      </c>
    </row>
    <row r="38" spans="1:3" x14ac:dyDescent="0.2">
      <c r="A38" s="7">
        <v>12</v>
      </c>
      <c r="B38" s="7">
        <v>23.883600681490151</v>
      </c>
      <c r="C38" s="7">
        <v>0.11639931850984908</v>
      </c>
    </row>
    <row r="39" spans="1:3" x14ac:dyDescent="0.2">
      <c r="A39" s="7">
        <v>13</v>
      </c>
      <c r="B39" s="7">
        <v>23.597867873019986</v>
      </c>
      <c r="C39" s="7">
        <v>2.1321269800154141E-3</v>
      </c>
    </row>
    <row r="40" spans="1:3" x14ac:dyDescent="0.2">
      <c r="A40" s="7">
        <v>14</v>
      </c>
      <c r="B40" s="7">
        <v>23.28379161916148</v>
      </c>
      <c r="C40" s="7">
        <v>-8.3791619161480924E-2</v>
      </c>
    </row>
    <row r="41" spans="1:3" x14ac:dyDescent="0.2">
      <c r="A41" s="7">
        <v>15</v>
      </c>
      <c r="B41" s="7">
        <v>23.180597556255975</v>
      </c>
      <c r="C41" s="7">
        <v>1.9402443744024112E-2</v>
      </c>
    </row>
    <row r="42" spans="1:3" x14ac:dyDescent="0.2">
      <c r="A42" s="7">
        <v>16</v>
      </c>
      <c r="B42" s="7">
        <v>22.686650077935113</v>
      </c>
      <c r="C42" s="7">
        <v>1.3349922064886499E-2</v>
      </c>
    </row>
    <row r="43" spans="1:3" x14ac:dyDescent="0.2">
      <c r="A43" s="7">
        <v>17</v>
      </c>
      <c r="B43" s="7">
        <v>21.787770601624771</v>
      </c>
      <c r="C43" s="7">
        <v>1.2229398375229295E-2</v>
      </c>
    </row>
    <row r="44" spans="1:3" x14ac:dyDescent="0.2">
      <c r="A44" s="7">
        <v>18</v>
      </c>
      <c r="B44" s="7">
        <v>21.486335566129647</v>
      </c>
      <c r="C44" s="7">
        <v>1.3664433870353321E-2</v>
      </c>
    </row>
    <row r="45" spans="1:3" x14ac:dyDescent="0.2">
      <c r="A45" s="7">
        <v>19</v>
      </c>
      <c r="B45" s="7">
        <v>21.289473648076392</v>
      </c>
      <c r="C45" s="7">
        <v>-8.9473648076392465E-2</v>
      </c>
    </row>
    <row r="46" spans="1:3" x14ac:dyDescent="0.2">
      <c r="A46" s="7">
        <v>20</v>
      </c>
      <c r="B46" s="7">
        <v>20.889270893113814</v>
      </c>
      <c r="C46" s="7">
        <v>0.1107291068861862</v>
      </c>
    </row>
    <row r="47" spans="1:3" x14ac:dyDescent="0.2">
      <c r="A47" s="7">
        <v>21</v>
      </c>
      <c r="B47" s="7">
        <v>20.293119492117835</v>
      </c>
      <c r="C47" s="7">
        <v>6.880507882165432E-3</v>
      </c>
    </row>
    <row r="48" spans="1:3" x14ac:dyDescent="0.2">
      <c r="A48" s="7">
        <v>22</v>
      </c>
      <c r="B48" s="7">
        <v>20.0848233808033</v>
      </c>
      <c r="C48" s="7">
        <v>-8.4823380803300097E-2</v>
      </c>
    </row>
    <row r="49" spans="1:3" x14ac:dyDescent="0.2">
      <c r="A49" s="7">
        <v>23</v>
      </c>
      <c r="B49" s="7">
        <v>19.887577121697362</v>
      </c>
      <c r="C49" s="7">
        <v>1.2422878302636775E-2</v>
      </c>
    </row>
    <row r="50" spans="1:3" x14ac:dyDescent="0.2">
      <c r="A50" s="7">
        <v>24</v>
      </c>
      <c r="B50" s="7">
        <v>19.784459927002391</v>
      </c>
      <c r="C50" s="7">
        <v>0.11554007299760727</v>
      </c>
    </row>
    <row r="51" spans="1:3" x14ac:dyDescent="0.2">
      <c r="A51" s="7">
        <v>25</v>
      </c>
      <c r="B51" s="7">
        <v>19.494382216558009</v>
      </c>
      <c r="C51" s="7">
        <v>5.6177834419912642E-3</v>
      </c>
    </row>
    <row r="52" spans="1:3" x14ac:dyDescent="0.2">
      <c r="A52" s="7">
        <v>26</v>
      </c>
      <c r="B52" s="7">
        <v>19.591712306291747</v>
      </c>
      <c r="C52" s="7">
        <v>-0.19171230629174829</v>
      </c>
    </row>
    <row r="53" spans="1:3" x14ac:dyDescent="0.2">
      <c r="A53" s="7">
        <v>27</v>
      </c>
      <c r="B53" s="7">
        <v>19.189610712332239</v>
      </c>
      <c r="C53" s="7">
        <v>-8.9610712332238052E-2</v>
      </c>
    </row>
    <row r="54" spans="1:3" x14ac:dyDescent="0.2">
      <c r="A54" s="7">
        <v>28</v>
      </c>
      <c r="B54" s="7">
        <v>18.58674521459529</v>
      </c>
      <c r="C54" s="7">
        <v>-8.674521459528961E-2</v>
      </c>
    </row>
    <row r="55" spans="1:3" x14ac:dyDescent="0.2">
      <c r="A55" s="7">
        <v>29</v>
      </c>
      <c r="B55" s="7">
        <v>17.395658584212015</v>
      </c>
      <c r="C55" s="7">
        <v>0.10434141578798517</v>
      </c>
    </row>
    <row r="56" spans="1:3" ht="17" thickBot="1" x14ac:dyDescent="0.25">
      <c r="A56" s="8">
        <v>30</v>
      </c>
      <c r="B56" s="8">
        <v>15.994905934484441</v>
      </c>
      <c r="C56" s="8">
        <v>5.0940655155589099E-3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871D-8C55-1E4E-ABC7-448C5A882CC3}">
  <dimension ref="A2:AL32"/>
  <sheetViews>
    <sheetView zoomScale="82" workbookViewId="0">
      <selection activeCell="R41" sqref="R41"/>
    </sheetView>
  </sheetViews>
  <sheetFormatPr baseColWidth="10" defaultRowHeight="16" x14ac:dyDescent="0.2"/>
  <cols>
    <col min="1" max="1" width="35.5" customWidth="1"/>
    <col min="2" max="2" width="20.83203125" customWidth="1"/>
    <col min="3" max="3" width="8.5" customWidth="1"/>
    <col min="4" max="4" width="22.6640625" customWidth="1"/>
    <col min="27" max="27" width="21.33203125" customWidth="1"/>
  </cols>
  <sheetData>
    <row r="2" spans="1:38" x14ac:dyDescent="0.2">
      <c r="B2" t="s">
        <v>51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/>
      <c r="R2" s="3" t="s">
        <v>43</v>
      </c>
      <c r="S2" s="3" t="s">
        <v>44</v>
      </c>
      <c r="T2" s="3" t="s">
        <v>45</v>
      </c>
      <c r="U2" s="3" t="s">
        <v>46</v>
      </c>
      <c r="V2" s="3" t="s">
        <v>47</v>
      </c>
      <c r="W2" s="3" t="s">
        <v>48</v>
      </c>
      <c r="X2" s="3" t="s">
        <v>49</v>
      </c>
      <c r="Y2" s="3" t="s">
        <v>50</v>
      </c>
      <c r="Z2" s="3"/>
      <c r="AA2" t="s">
        <v>51</v>
      </c>
      <c r="AB2" s="5"/>
      <c r="AC2" s="3"/>
      <c r="AD2" s="5"/>
      <c r="AF2" s="3" t="s">
        <v>32</v>
      </c>
      <c r="AG2" s="3" t="s">
        <v>35</v>
      </c>
      <c r="AI2" t="s">
        <v>128</v>
      </c>
      <c r="AJ2" s="3" t="s">
        <v>127</v>
      </c>
      <c r="AK2" s="3" t="s">
        <v>40</v>
      </c>
      <c r="AL2" s="3" t="s">
        <v>116</v>
      </c>
    </row>
    <row r="3" spans="1:38" x14ac:dyDescent="0.2">
      <c r="B3" t="s">
        <v>52</v>
      </c>
      <c r="C3" s="2">
        <v>1</v>
      </c>
      <c r="D3" s="1" t="s">
        <v>0</v>
      </c>
      <c r="E3" s="2">
        <v>20</v>
      </c>
      <c r="F3" s="2">
        <v>35.799999999999997</v>
      </c>
      <c r="G3" s="2">
        <v>28.6</v>
      </c>
      <c r="H3" s="1">
        <v>10.4</v>
      </c>
      <c r="I3" s="1">
        <v>19.2</v>
      </c>
      <c r="J3" s="2">
        <v>53.9</v>
      </c>
      <c r="K3" s="1">
        <v>1.9</v>
      </c>
      <c r="L3" s="1">
        <v>4.8</v>
      </c>
      <c r="M3" s="2">
        <v>38.9</v>
      </c>
      <c r="N3" s="2">
        <v>6</v>
      </c>
      <c r="O3" s="2">
        <v>7</v>
      </c>
      <c r="P3" s="2">
        <v>86.3</v>
      </c>
      <c r="Q3" s="2"/>
      <c r="R3" s="1">
        <v>0.5</v>
      </c>
      <c r="S3" s="1">
        <v>7.1</v>
      </c>
      <c r="T3" s="1">
        <v>7.5</v>
      </c>
      <c r="U3" s="1">
        <v>5.6</v>
      </c>
      <c r="V3" s="1">
        <v>0.7</v>
      </c>
      <c r="W3" s="1">
        <v>0.7</v>
      </c>
      <c r="X3" s="1">
        <v>3</v>
      </c>
      <c r="Y3" s="2">
        <v>30.2</v>
      </c>
      <c r="Z3" s="2"/>
      <c r="AA3" t="s">
        <v>52</v>
      </c>
      <c r="AB3" s="2">
        <v>0.71399999999999997</v>
      </c>
      <c r="AC3" s="2">
        <v>48</v>
      </c>
      <c r="AD3" s="2">
        <v>109.6</v>
      </c>
      <c r="AF3" s="2">
        <v>35.799999999999997</v>
      </c>
      <c r="AG3" s="1">
        <v>19.2</v>
      </c>
      <c r="AI3">
        <f>(H3-K3)*2</f>
        <v>17</v>
      </c>
      <c r="AJ3" s="1">
        <f>K3*3</f>
        <v>5.6999999999999993</v>
      </c>
      <c r="AK3" s="2">
        <v>6</v>
      </c>
      <c r="AL3">
        <v>15</v>
      </c>
    </row>
    <row r="4" spans="1:38" x14ac:dyDescent="0.2">
      <c r="B4" t="s">
        <v>53</v>
      </c>
      <c r="C4" s="2">
        <v>2</v>
      </c>
      <c r="D4" s="1" t="s">
        <v>1</v>
      </c>
      <c r="E4" s="2">
        <v>20</v>
      </c>
      <c r="F4" s="2">
        <v>34.299999999999997</v>
      </c>
      <c r="G4" s="2">
        <v>27.8</v>
      </c>
      <c r="H4" s="1">
        <v>9.1999999999999993</v>
      </c>
      <c r="I4" s="1">
        <v>20.3</v>
      </c>
      <c r="J4" s="2">
        <v>45.2</v>
      </c>
      <c r="K4" s="1">
        <v>5.4</v>
      </c>
      <c r="L4" s="1">
        <v>13.1</v>
      </c>
      <c r="M4" s="2">
        <v>41.2</v>
      </c>
      <c r="N4" s="2">
        <v>4.0999999999999996</v>
      </c>
      <c r="O4" s="2">
        <v>4.4000000000000004</v>
      </c>
      <c r="P4" s="2">
        <v>94.3</v>
      </c>
      <c r="Q4" s="2"/>
      <c r="R4" s="1">
        <v>0.6</v>
      </c>
      <c r="S4" s="1">
        <v>5.0999999999999996</v>
      </c>
      <c r="T4" s="1">
        <v>5.7</v>
      </c>
      <c r="U4" s="1">
        <v>6.6</v>
      </c>
      <c r="V4" s="1">
        <v>1.8</v>
      </c>
      <c r="W4" s="1">
        <v>0.6</v>
      </c>
      <c r="X4" s="1">
        <v>3.2</v>
      </c>
      <c r="Y4" s="2">
        <v>27.9</v>
      </c>
      <c r="Z4" s="2"/>
      <c r="AA4" t="s">
        <v>53</v>
      </c>
      <c r="AB4" s="2">
        <v>0.85699999999999998</v>
      </c>
      <c r="AC4" s="2">
        <v>48.2</v>
      </c>
      <c r="AD4" s="2">
        <v>113.1</v>
      </c>
      <c r="AF4" s="2">
        <v>34.299999999999997</v>
      </c>
      <c r="AG4" s="1">
        <v>20.3</v>
      </c>
      <c r="AI4">
        <f t="shared" ref="AI4:AI32" si="0">(H4-K4)*2</f>
        <v>7.5999999999999979</v>
      </c>
      <c r="AJ4" s="1">
        <f t="shared" ref="AJ4:AJ32" si="1">K4*3</f>
        <v>16.200000000000003</v>
      </c>
      <c r="AK4" s="2">
        <v>4.0999999999999996</v>
      </c>
      <c r="AL4">
        <v>18</v>
      </c>
    </row>
    <row r="5" spans="1:38" x14ac:dyDescent="0.2">
      <c r="B5" t="s">
        <v>54</v>
      </c>
      <c r="C5" s="2">
        <v>3</v>
      </c>
      <c r="D5" s="1" t="s">
        <v>2</v>
      </c>
      <c r="E5" s="2">
        <v>21</v>
      </c>
      <c r="F5" s="2">
        <v>32.700000000000003</v>
      </c>
      <c r="G5" s="2">
        <v>27.6</v>
      </c>
      <c r="H5" s="1">
        <v>9.8000000000000007</v>
      </c>
      <c r="I5" s="1">
        <v>18.399999999999999</v>
      </c>
      <c r="J5" s="2">
        <v>53.2</v>
      </c>
      <c r="K5" s="1">
        <v>1.1000000000000001</v>
      </c>
      <c r="L5" s="1">
        <v>4.0999999999999996</v>
      </c>
      <c r="M5" s="2">
        <v>27.6</v>
      </c>
      <c r="N5" s="2">
        <v>6.9</v>
      </c>
      <c r="O5" s="2">
        <v>10.199999999999999</v>
      </c>
      <c r="P5" s="2">
        <v>67.3</v>
      </c>
      <c r="Q5" s="2"/>
      <c r="R5" s="1">
        <v>1.9</v>
      </c>
      <c r="S5" s="1">
        <v>10</v>
      </c>
      <c r="T5" s="1">
        <v>11.8</v>
      </c>
      <c r="U5" s="1">
        <v>6</v>
      </c>
      <c r="V5" s="1">
        <v>1.1000000000000001</v>
      </c>
      <c r="W5" s="1">
        <v>1.7</v>
      </c>
      <c r="X5" s="1">
        <v>3.2</v>
      </c>
      <c r="Y5" s="2">
        <v>33.1</v>
      </c>
      <c r="Z5" s="2"/>
      <c r="AA5" t="s">
        <v>54</v>
      </c>
      <c r="AB5" s="2">
        <v>0.63600000000000001</v>
      </c>
      <c r="AC5" s="2">
        <v>48.2</v>
      </c>
      <c r="AD5" s="2">
        <v>110.6</v>
      </c>
      <c r="AF5" s="2">
        <v>32.700000000000003</v>
      </c>
      <c r="AG5" s="1">
        <v>18.399999999999999</v>
      </c>
      <c r="AI5">
        <f t="shared" si="0"/>
        <v>17.400000000000002</v>
      </c>
      <c r="AJ5" s="1">
        <f t="shared" si="1"/>
        <v>3.3000000000000003</v>
      </c>
      <c r="AK5" s="2">
        <v>6.9</v>
      </c>
      <c r="AL5">
        <v>14</v>
      </c>
    </row>
    <row r="6" spans="1:38" x14ac:dyDescent="0.2">
      <c r="B6" s="4" t="s">
        <v>55</v>
      </c>
      <c r="C6" s="2">
        <v>4</v>
      </c>
      <c r="D6" s="1" t="s">
        <v>3</v>
      </c>
      <c r="E6" s="2">
        <v>22</v>
      </c>
      <c r="F6" s="2">
        <v>34</v>
      </c>
      <c r="G6" s="2">
        <v>26.3</v>
      </c>
      <c r="H6" s="1">
        <v>9.3000000000000007</v>
      </c>
      <c r="I6" s="1">
        <v>19.899999999999999</v>
      </c>
      <c r="J6" s="2">
        <v>46.6</v>
      </c>
      <c r="K6" s="1">
        <v>2.7</v>
      </c>
      <c r="L6" s="1">
        <v>6.9</v>
      </c>
      <c r="M6" s="2">
        <v>38.799999999999997</v>
      </c>
      <c r="N6" s="2">
        <v>5</v>
      </c>
      <c r="O6" s="2">
        <v>5.6</v>
      </c>
      <c r="P6" s="2">
        <v>89.5</v>
      </c>
      <c r="Q6" s="2"/>
      <c r="R6" s="1">
        <v>0.6</v>
      </c>
      <c r="S6" s="1">
        <v>3.2</v>
      </c>
      <c r="T6" s="1">
        <v>3.8</v>
      </c>
      <c r="U6" s="1">
        <v>9.1</v>
      </c>
      <c r="V6" s="1">
        <v>0.9</v>
      </c>
      <c r="W6" s="1">
        <v>0.1</v>
      </c>
      <c r="X6" s="1">
        <v>3.8</v>
      </c>
      <c r="Y6" s="2">
        <v>25.1</v>
      </c>
      <c r="Z6" s="2"/>
      <c r="AA6" s="4" t="s">
        <v>55</v>
      </c>
      <c r="AB6" s="2">
        <v>0.54500000000000004</v>
      </c>
      <c r="AC6" s="2">
        <v>48</v>
      </c>
      <c r="AD6" s="2">
        <v>110.5</v>
      </c>
      <c r="AF6" s="2">
        <v>34</v>
      </c>
      <c r="AG6" s="1">
        <v>19.899999999999999</v>
      </c>
      <c r="AI6">
        <f t="shared" si="0"/>
        <v>13.200000000000001</v>
      </c>
      <c r="AJ6" s="1">
        <f t="shared" si="1"/>
        <v>8.1000000000000014</v>
      </c>
      <c r="AK6" s="2">
        <v>5</v>
      </c>
      <c r="AL6">
        <v>12</v>
      </c>
    </row>
    <row r="7" spans="1:38" x14ac:dyDescent="0.2">
      <c r="A7" s="4"/>
      <c r="B7" s="4" t="s">
        <v>58</v>
      </c>
      <c r="C7" s="2">
        <v>5</v>
      </c>
      <c r="D7" s="1" t="s">
        <v>4</v>
      </c>
      <c r="E7" s="2">
        <v>22</v>
      </c>
      <c r="F7" s="2">
        <v>35</v>
      </c>
      <c r="G7" s="2">
        <v>25.9</v>
      </c>
      <c r="H7" s="1">
        <v>9.1999999999999993</v>
      </c>
      <c r="I7" s="1">
        <v>18.8</v>
      </c>
      <c r="J7" s="2">
        <v>48.9</v>
      </c>
      <c r="K7" s="1">
        <v>0.9</v>
      </c>
      <c r="L7" s="1">
        <v>2.6</v>
      </c>
      <c r="M7" s="2">
        <v>32.799999999999997</v>
      </c>
      <c r="N7" s="2">
        <v>6.7</v>
      </c>
      <c r="O7" s="2">
        <v>7.5</v>
      </c>
      <c r="P7" s="2">
        <v>89.6</v>
      </c>
      <c r="Q7" s="2"/>
      <c r="R7" s="1">
        <v>0.7</v>
      </c>
      <c r="S7" s="1">
        <v>4.5</v>
      </c>
      <c r="T7" s="1">
        <v>5.2</v>
      </c>
      <c r="U7" s="1">
        <v>4.2</v>
      </c>
      <c r="V7" s="1">
        <v>1</v>
      </c>
      <c r="W7" s="1">
        <v>0.4</v>
      </c>
      <c r="X7" s="1">
        <v>2</v>
      </c>
      <c r="Y7" s="2">
        <v>24.2</v>
      </c>
      <c r="Z7" s="2"/>
      <c r="AA7" s="4" t="s">
        <v>58</v>
      </c>
      <c r="AB7" s="2">
        <v>0.63600000000000001</v>
      </c>
      <c r="AC7" s="2">
        <v>48</v>
      </c>
      <c r="AD7" s="2">
        <v>109.1</v>
      </c>
      <c r="AF7" s="2">
        <v>35</v>
      </c>
      <c r="AG7" s="1">
        <v>18.8</v>
      </c>
      <c r="AI7">
        <f t="shared" si="0"/>
        <v>16.599999999999998</v>
      </c>
      <c r="AJ7" s="1">
        <f t="shared" si="1"/>
        <v>2.7</v>
      </c>
      <c r="AK7" s="2">
        <v>6.7</v>
      </c>
      <c r="AL7">
        <v>14</v>
      </c>
    </row>
    <row r="8" spans="1:38" x14ac:dyDescent="0.2">
      <c r="A8" s="4"/>
      <c r="B8" s="4" t="s">
        <v>65</v>
      </c>
      <c r="C8" s="2">
        <v>6</v>
      </c>
      <c r="D8" s="1" t="s">
        <v>5</v>
      </c>
      <c r="E8" s="2">
        <v>21</v>
      </c>
      <c r="F8" s="2">
        <v>35.5</v>
      </c>
      <c r="G8" s="2">
        <v>25.9</v>
      </c>
      <c r="H8" s="1">
        <v>9.5</v>
      </c>
      <c r="I8" s="1">
        <v>22</v>
      </c>
      <c r="J8" s="2">
        <v>43.1</v>
      </c>
      <c r="K8" s="1">
        <v>2.9</v>
      </c>
      <c r="L8" s="1">
        <v>8.8000000000000007</v>
      </c>
      <c r="M8" s="2">
        <v>33.200000000000003</v>
      </c>
      <c r="N8" s="2">
        <v>4</v>
      </c>
      <c r="O8" s="2">
        <v>4.5</v>
      </c>
      <c r="P8" s="2">
        <v>89.5</v>
      </c>
      <c r="Q8" s="2"/>
      <c r="R8" s="1">
        <v>0.4</v>
      </c>
      <c r="S8" s="1">
        <v>6.9</v>
      </c>
      <c r="T8" s="1">
        <v>7.3</v>
      </c>
      <c r="U8" s="1">
        <v>5.0999999999999996</v>
      </c>
      <c r="V8" s="1">
        <v>1.8</v>
      </c>
      <c r="W8" s="1">
        <v>0.4</v>
      </c>
      <c r="X8" s="1">
        <v>4.3</v>
      </c>
      <c r="Y8" s="2">
        <v>23.2</v>
      </c>
      <c r="Z8" s="2"/>
      <c r="AA8" s="4" t="s">
        <v>65</v>
      </c>
      <c r="AB8" s="2">
        <v>0.5</v>
      </c>
      <c r="AC8" s="2">
        <v>48.2</v>
      </c>
      <c r="AD8" s="2">
        <v>105.6</v>
      </c>
      <c r="AF8" s="2">
        <v>35.5</v>
      </c>
      <c r="AG8" s="1">
        <v>22</v>
      </c>
      <c r="AI8">
        <f t="shared" si="0"/>
        <v>13.2</v>
      </c>
      <c r="AJ8" s="1">
        <f t="shared" si="1"/>
        <v>8.6999999999999993</v>
      </c>
      <c r="AK8" s="2">
        <v>4</v>
      </c>
      <c r="AL8">
        <v>11</v>
      </c>
    </row>
    <row r="9" spans="1:38" x14ac:dyDescent="0.2">
      <c r="A9" s="4"/>
      <c r="B9" s="4" t="s">
        <v>61</v>
      </c>
      <c r="C9" s="2">
        <v>7</v>
      </c>
      <c r="D9" s="1" t="s">
        <v>6</v>
      </c>
      <c r="E9" s="2">
        <v>16</v>
      </c>
      <c r="F9" s="2">
        <v>32.700000000000003</v>
      </c>
      <c r="G9" s="2">
        <v>25.7</v>
      </c>
      <c r="H9" s="1">
        <v>10</v>
      </c>
      <c r="I9" s="1">
        <v>17.3</v>
      </c>
      <c r="J9" s="2">
        <v>58</v>
      </c>
      <c r="K9" s="1">
        <v>1.6</v>
      </c>
      <c r="L9" s="1">
        <v>4.3</v>
      </c>
      <c r="M9" s="2">
        <v>38.200000000000003</v>
      </c>
      <c r="N9" s="2">
        <v>4.0999999999999996</v>
      </c>
      <c r="O9" s="2">
        <v>5.4</v>
      </c>
      <c r="P9" s="2">
        <v>75.599999999999994</v>
      </c>
      <c r="Q9" s="2"/>
      <c r="R9" s="1">
        <v>2.6</v>
      </c>
      <c r="S9" s="1">
        <v>11.1</v>
      </c>
      <c r="T9" s="1">
        <v>13.8</v>
      </c>
      <c r="U9" s="1">
        <v>6.4</v>
      </c>
      <c r="V9" s="1">
        <v>1.2</v>
      </c>
      <c r="W9" s="1">
        <v>0.8</v>
      </c>
      <c r="X9" s="1">
        <v>3.2</v>
      </c>
      <c r="Y9" s="2">
        <v>36.1</v>
      </c>
      <c r="Z9" s="2"/>
      <c r="AA9" s="4" t="s">
        <v>61</v>
      </c>
      <c r="AB9" s="2">
        <v>0.47599999999999998</v>
      </c>
      <c r="AC9" s="2">
        <v>48</v>
      </c>
      <c r="AD9" s="2">
        <v>103.6</v>
      </c>
      <c r="AF9" s="2">
        <v>32.700000000000003</v>
      </c>
      <c r="AG9" s="1">
        <v>17.3</v>
      </c>
      <c r="AI9">
        <f t="shared" si="0"/>
        <v>16.8</v>
      </c>
      <c r="AJ9" s="1">
        <f t="shared" si="1"/>
        <v>4.8000000000000007</v>
      </c>
      <c r="AK9" s="2">
        <v>4.0999999999999996</v>
      </c>
      <c r="AL9">
        <v>10</v>
      </c>
    </row>
    <row r="10" spans="1:38" x14ac:dyDescent="0.2">
      <c r="A10" s="4"/>
      <c r="B10" s="4" t="s">
        <v>60</v>
      </c>
      <c r="C10" s="2">
        <v>8</v>
      </c>
      <c r="D10" s="1" t="s">
        <v>7</v>
      </c>
      <c r="E10" s="2">
        <v>17</v>
      </c>
      <c r="F10" s="2">
        <v>34.700000000000003</v>
      </c>
      <c r="G10" s="2">
        <v>25.6</v>
      </c>
      <c r="H10" s="1">
        <v>9.6</v>
      </c>
      <c r="I10" s="1">
        <v>21.3</v>
      </c>
      <c r="J10" s="2">
        <v>45</v>
      </c>
      <c r="K10" s="1">
        <v>2.8</v>
      </c>
      <c r="L10" s="1">
        <v>8.1999999999999993</v>
      </c>
      <c r="M10" s="2">
        <v>34.299999999999997</v>
      </c>
      <c r="N10" s="2">
        <v>3.6</v>
      </c>
      <c r="O10" s="2">
        <v>5.5</v>
      </c>
      <c r="P10" s="2">
        <v>66.7</v>
      </c>
      <c r="Q10" s="2"/>
      <c r="R10" s="1">
        <v>0.8</v>
      </c>
      <c r="S10" s="1">
        <v>7.2</v>
      </c>
      <c r="T10" s="1">
        <v>7.9</v>
      </c>
      <c r="U10" s="1">
        <v>8.6</v>
      </c>
      <c r="V10" s="1">
        <v>1.2</v>
      </c>
      <c r="W10" s="1">
        <v>0.6</v>
      </c>
      <c r="X10" s="1">
        <v>4.5</v>
      </c>
      <c r="Y10" s="2">
        <v>25.9</v>
      </c>
      <c r="Z10" s="2"/>
      <c r="AA10" s="4" t="s">
        <v>60</v>
      </c>
      <c r="AB10" s="2">
        <v>0.55000000000000004</v>
      </c>
      <c r="AC10" s="2">
        <v>48.3</v>
      </c>
      <c r="AD10" s="2">
        <v>106</v>
      </c>
      <c r="AF10" s="2">
        <v>34.700000000000003</v>
      </c>
      <c r="AG10" s="1">
        <v>21.3</v>
      </c>
      <c r="AI10">
        <f t="shared" si="0"/>
        <v>13.6</v>
      </c>
      <c r="AJ10" s="1">
        <f t="shared" si="1"/>
        <v>8.3999999999999986</v>
      </c>
      <c r="AK10" s="2">
        <v>3.6</v>
      </c>
      <c r="AL10">
        <v>11</v>
      </c>
    </row>
    <row r="11" spans="1:38" x14ac:dyDescent="0.2">
      <c r="A11" s="4" t="s">
        <v>59</v>
      </c>
      <c r="B11" s="4" t="s">
        <v>56</v>
      </c>
      <c r="C11" s="2">
        <v>10</v>
      </c>
      <c r="D11" s="1" t="s">
        <v>8</v>
      </c>
      <c r="E11" s="2">
        <v>22</v>
      </c>
      <c r="F11" s="2">
        <v>36.6</v>
      </c>
      <c r="G11" s="2">
        <v>24.4</v>
      </c>
      <c r="H11" s="1">
        <v>8.6</v>
      </c>
      <c r="I11" s="1">
        <v>21.7</v>
      </c>
      <c r="J11" s="2">
        <v>39.700000000000003</v>
      </c>
      <c r="K11" s="1">
        <v>2.7</v>
      </c>
      <c r="L11" s="1">
        <v>8.4</v>
      </c>
      <c r="M11" s="2">
        <v>31.9</v>
      </c>
      <c r="N11" s="2">
        <v>4.4000000000000004</v>
      </c>
      <c r="O11" s="2">
        <v>5.5</v>
      </c>
      <c r="P11" s="2">
        <v>80.8</v>
      </c>
      <c r="Q11" s="2"/>
      <c r="R11" s="1">
        <v>1.1000000000000001</v>
      </c>
      <c r="S11" s="1">
        <v>7.7</v>
      </c>
      <c r="T11" s="1">
        <v>8.9</v>
      </c>
      <c r="U11" s="1">
        <v>3.6</v>
      </c>
      <c r="V11" s="1">
        <v>1</v>
      </c>
      <c r="W11" s="1">
        <v>0.8</v>
      </c>
      <c r="X11" s="1">
        <v>2.6</v>
      </c>
      <c r="Y11" s="2">
        <v>21.8</v>
      </c>
      <c r="Z11" s="2"/>
      <c r="AA11" s="4" t="s">
        <v>56</v>
      </c>
      <c r="AB11" s="2">
        <v>0.54500000000000004</v>
      </c>
      <c r="AC11" s="2">
        <v>49.4</v>
      </c>
      <c r="AD11" s="2">
        <v>106.3</v>
      </c>
      <c r="AF11" s="2">
        <v>36.6</v>
      </c>
      <c r="AG11" s="1">
        <v>21.7</v>
      </c>
      <c r="AI11">
        <f t="shared" si="0"/>
        <v>11.799999999999999</v>
      </c>
      <c r="AJ11" s="1">
        <f t="shared" si="1"/>
        <v>8.1000000000000014</v>
      </c>
      <c r="AK11" s="2">
        <v>4.4000000000000004</v>
      </c>
      <c r="AL11">
        <v>12</v>
      </c>
    </row>
    <row r="12" spans="1:38" x14ac:dyDescent="0.2">
      <c r="A12" s="4"/>
      <c r="B12" s="4" t="s">
        <v>66</v>
      </c>
      <c r="C12" s="2">
        <v>11</v>
      </c>
      <c r="D12" s="1" t="s">
        <v>9</v>
      </c>
      <c r="E12" s="2">
        <v>22</v>
      </c>
      <c r="F12" s="2">
        <v>35.700000000000003</v>
      </c>
      <c r="G12" s="2">
        <v>24.3</v>
      </c>
      <c r="H12" s="1">
        <v>9.6999999999999993</v>
      </c>
      <c r="I12" s="1">
        <v>18.7</v>
      </c>
      <c r="J12" s="2">
        <v>51.8</v>
      </c>
      <c r="K12" s="1">
        <v>0.4</v>
      </c>
      <c r="L12" s="1">
        <v>2.1</v>
      </c>
      <c r="M12" s="2">
        <v>19.600000000000001</v>
      </c>
      <c r="N12" s="2">
        <v>4.5</v>
      </c>
      <c r="O12" s="2">
        <v>6.2</v>
      </c>
      <c r="P12" s="2">
        <v>72.8</v>
      </c>
      <c r="Q12" s="2"/>
      <c r="R12" s="1">
        <v>2.9</v>
      </c>
      <c r="S12" s="1">
        <v>7.1</v>
      </c>
      <c r="T12" s="1">
        <v>10</v>
      </c>
      <c r="U12" s="1">
        <v>3</v>
      </c>
      <c r="V12" s="1">
        <v>1.3</v>
      </c>
      <c r="W12" s="1">
        <v>2.2999999999999998</v>
      </c>
      <c r="X12" s="1">
        <v>2</v>
      </c>
      <c r="Y12" s="2">
        <v>28.2</v>
      </c>
      <c r="Z12" s="2"/>
      <c r="AA12" s="4" t="s">
        <v>66</v>
      </c>
      <c r="AB12" s="2">
        <v>0.52200000000000002</v>
      </c>
      <c r="AC12" s="2">
        <v>49.5</v>
      </c>
      <c r="AD12" s="2">
        <v>111.6</v>
      </c>
      <c r="AF12" s="2">
        <v>35.700000000000003</v>
      </c>
      <c r="AG12" s="1">
        <v>18.7</v>
      </c>
      <c r="AI12">
        <f t="shared" si="0"/>
        <v>18.599999999999998</v>
      </c>
      <c r="AJ12" s="1">
        <f t="shared" si="1"/>
        <v>1.2000000000000002</v>
      </c>
      <c r="AK12" s="2">
        <v>4.5</v>
      </c>
      <c r="AL12">
        <v>12</v>
      </c>
    </row>
    <row r="13" spans="1:38" x14ac:dyDescent="0.2">
      <c r="A13" s="4" t="s">
        <v>74</v>
      </c>
      <c r="B13" s="4" t="s">
        <v>67</v>
      </c>
      <c r="C13" s="2">
        <v>12</v>
      </c>
      <c r="D13" s="1" t="s">
        <v>10</v>
      </c>
      <c r="E13" s="2">
        <v>19</v>
      </c>
      <c r="F13" s="2">
        <v>32.6</v>
      </c>
      <c r="G13" s="2">
        <v>24.1</v>
      </c>
      <c r="H13" s="1">
        <v>8.9</v>
      </c>
      <c r="I13" s="1">
        <v>18.8</v>
      </c>
      <c r="J13" s="2">
        <v>47.6</v>
      </c>
      <c r="K13" s="1">
        <v>1.6</v>
      </c>
      <c r="L13" s="1">
        <v>4.5999999999999996</v>
      </c>
      <c r="M13" s="2">
        <v>35.6</v>
      </c>
      <c r="N13" s="2">
        <v>4.5999999999999996</v>
      </c>
      <c r="O13" s="2">
        <v>5.9</v>
      </c>
      <c r="P13" s="2">
        <v>77.7</v>
      </c>
      <c r="Q13" s="2"/>
      <c r="R13" s="1">
        <v>1.3</v>
      </c>
      <c r="S13" s="1">
        <v>4.3</v>
      </c>
      <c r="T13" s="1">
        <v>5.6</v>
      </c>
      <c r="U13" s="1">
        <v>6.8</v>
      </c>
      <c r="V13" s="1">
        <v>1.6</v>
      </c>
      <c r="W13" s="1">
        <v>0.3</v>
      </c>
      <c r="X13" s="1">
        <v>3.2</v>
      </c>
      <c r="Y13" s="2">
        <v>24</v>
      </c>
      <c r="Z13" s="2"/>
      <c r="AA13" s="4" t="s">
        <v>67</v>
      </c>
      <c r="AB13" s="2">
        <v>0.52400000000000002</v>
      </c>
      <c r="AC13" s="2">
        <v>48.5</v>
      </c>
      <c r="AD13" s="2">
        <v>110</v>
      </c>
      <c r="AF13" s="2">
        <v>32.6</v>
      </c>
      <c r="AG13" s="1">
        <v>18.8</v>
      </c>
      <c r="AI13">
        <f t="shared" si="0"/>
        <v>14.600000000000001</v>
      </c>
      <c r="AJ13" s="1">
        <f t="shared" si="1"/>
        <v>4.8000000000000007</v>
      </c>
      <c r="AK13" s="2">
        <v>4.5999999999999996</v>
      </c>
      <c r="AL13">
        <v>11</v>
      </c>
    </row>
    <row r="14" spans="1:38" x14ac:dyDescent="0.2">
      <c r="A14" s="4"/>
      <c r="B14" s="4" t="s">
        <v>69</v>
      </c>
      <c r="C14" s="2">
        <v>13</v>
      </c>
      <c r="D14" s="1" t="s">
        <v>11</v>
      </c>
      <c r="E14" s="2">
        <v>22</v>
      </c>
      <c r="F14" s="2">
        <v>34.299999999999997</v>
      </c>
      <c r="G14" s="2">
        <v>24</v>
      </c>
      <c r="H14" s="1">
        <v>8.5</v>
      </c>
      <c r="I14" s="1">
        <v>16.8</v>
      </c>
      <c r="J14" s="2">
        <v>50.8</v>
      </c>
      <c r="K14" s="1">
        <v>2.6</v>
      </c>
      <c r="L14" s="1">
        <v>5.9</v>
      </c>
      <c r="M14" s="2">
        <v>44.2</v>
      </c>
      <c r="N14" s="2">
        <v>4.3</v>
      </c>
      <c r="O14" s="2">
        <v>5.2</v>
      </c>
      <c r="P14" s="2">
        <v>81.7</v>
      </c>
      <c r="Q14" s="2"/>
      <c r="R14" s="1">
        <v>2.9</v>
      </c>
      <c r="S14" s="1">
        <v>6.2</v>
      </c>
      <c r="T14" s="1">
        <v>9</v>
      </c>
      <c r="U14" s="1">
        <v>3.1</v>
      </c>
      <c r="V14" s="1">
        <v>1.1000000000000001</v>
      </c>
      <c r="W14" s="1">
        <v>1</v>
      </c>
      <c r="X14" s="1">
        <v>3.5</v>
      </c>
      <c r="Y14" s="2">
        <v>25.5</v>
      </c>
      <c r="Z14" s="2"/>
      <c r="AA14" s="4" t="s">
        <v>69</v>
      </c>
      <c r="AB14" s="2">
        <v>0.5</v>
      </c>
      <c r="AC14" s="2">
        <v>48.7</v>
      </c>
      <c r="AD14" s="2">
        <v>108</v>
      </c>
      <c r="AF14" s="2">
        <v>34.299999999999997</v>
      </c>
      <c r="AG14" s="1">
        <v>16.8</v>
      </c>
      <c r="AI14">
        <f t="shared" si="0"/>
        <v>11.8</v>
      </c>
      <c r="AJ14" s="1">
        <f t="shared" si="1"/>
        <v>7.8000000000000007</v>
      </c>
      <c r="AK14" s="2">
        <v>4.3</v>
      </c>
      <c r="AL14">
        <v>11</v>
      </c>
    </row>
    <row r="15" spans="1:38" x14ac:dyDescent="0.2">
      <c r="A15" s="4"/>
      <c r="B15" s="4" t="s">
        <v>68</v>
      </c>
      <c r="C15" s="2">
        <v>14</v>
      </c>
      <c r="D15" s="1" t="s">
        <v>12</v>
      </c>
      <c r="E15" s="2">
        <v>17</v>
      </c>
      <c r="F15" s="2">
        <v>34.200000000000003</v>
      </c>
      <c r="G15" s="2">
        <v>23.6</v>
      </c>
      <c r="H15" s="1">
        <v>7.9</v>
      </c>
      <c r="I15" s="1">
        <v>15.3</v>
      </c>
      <c r="J15" s="2">
        <v>51.9</v>
      </c>
      <c r="K15" s="1">
        <v>0.4</v>
      </c>
      <c r="L15" s="1">
        <v>1.8</v>
      </c>
      <c r="M15" s="2">
        <v>20</v>
      </c>
      <c r="N15" s="2">
        <v>7.4</v>
      </c>
      <c r="O15" s="2">
        <v>8.6</v>
      </c>
      <c r="P15" s="2">
        <v>85</v>
      </c>
      <c r="Q15" s="2"/>
      <c r="R15" s="1">
        <v>1.6</v>
      </c>
      <c r="S15" s="1">
        <v>4.2</v>
      </c>
      <c r="T15" s="1">
        <v>5.8</v>
      </c>
      <c r="U15" s="1">
        <v>5.3</v>
      </c>
      <c r="V15" s="1">
        <v>2.1</v>
      </c>
      <c r="W15" s="1">
        <v>0.3</v>
      </c>
      <c r="X15" s="1">
        <v>1.9</v>
      </c>
      <c r="Y15" s="2">
        <v>26.5</v>
      </c>
      <c r="Z15" s="2"/>
      <c r="AA15" s="4" t="s">
        <v>68</v>
      </c>
      <c r="AB15" s="2">
        <v>0.59099999999999997</v>
      </c>
      <c r="AC15" s="2">
        <v>48.5</v>
      </c>
      <c r="AD15" s="2">
        <v>107.7</v>
      </c>
      <c r="AF15" s="2">
        <v>34.200000000000003</v>
      </c>
      <c r="AG15" s="1">
        <v>15.3</v>
      </c>
      <c r="AI15">
        <f t="shared" si="0"/>
        <v>15</v>
      </c>
      <c r="AJ15" s="1">
        <f t="shared" si="1"/>
        <v>1.2000000000000002</v>
      </c>
      <c r="AK15" s="2">
        <v>7.4</v>
      </c>
      <c r="AL15">
        <v>13</v>
      </c>
    </row>
    <row r="16" spans="1:38" x14ac:dyDescent="0.2">
      <c r="A16" s="4"/>
      <c r="B16" s="4" t="s">
        <v>75</v>
      </c>
      <c r="C16" s="2">
        <v>15</v>
      </c>
      <c r="D16" s="1" t="s">
        <v>13</v>
      </c>
      <c r="E16" s="2">
        <v>21</v>
      </c>
      <c r="F16" s="2">
        <v>32.200000000000003</v>
      </c>
      <c r="G16" s="2">
        <v>23.2</v>
      </c>
      <c r="H16" s="1">
        <v>8.6</v>
      </c>
      <c r="I16" s="1">
        <v>18.7</v>
      </c>
      <c r="J16" s="2">
        <v>45.8</v>
      </c>
      <c r="K16" s="1">
        <v>2.4</v>
      </c>
      <c r="L16" s="1">
        <v>5.9</v>
      </c>
      <c r="M16" s="2">
        <v>40.299999999999997</v>
      </c>
      <c r="N16" s="2">
        <v>3.7</v>
      </c>
      <c r="O16" s="2">
        <v>4.3</v>
      </c>
      <c r="P16" s="2">
        <v>85.7</v>
      </c>
      <c r="Q16" s="2"/>
      <c r="R16" s="1">
        <v>0.9</v>
      </c>
      <c r="S16" s="1">
        <v>4</v>
      </c>
      <c r="T16" s="1">
        <v>4.9000000000000004</v>
      </c>
      <c r="U16" s="1">
        <v>4.5</v>
      </c>
      <c r="V16" s="1">
        <v>0.9</v>
      </c>
      <c r="W16" s="1">
        <v>0.2</v>
      </c>
      <c r="X16" s="1">
        <v>2.7</v>
      </c>
      <c r="Y16" s="2">
        <v>20.3</v>
      </c>
      <c r="Z16" s="2"/>
      <c r="AA16" s="4" t="s">
        <v>75</v>
      </c>
      <c r="AB16" s="2">
        <v>0.85699999999999998</v>
      </c>
      <c r="AC16" s="2">
        <v>48</v>
      </c>
      <c r="AD16" s="2">
        <v>112.2</v>
      </c>
      <c r="AF16" s="2">
        <v>32.200000000000003</v>
      </c>
      <c r="AG16" s="1">
        <v>18.7</v>
      </c>
      <c r="AI16">
        <f t="shared" si="0"/>
        <v>12.399999999999999</v>
      </c>
      <c r="AJ16" s="1">
        <f t="shared" si="1"/>
        <v>7.1999999999999993</v>
      </c>
      <c r="AK16" s="2">
        <v>3.7</v>
      </c>
      <c r="AL16">
        <v>18</v>
      </c>
    </row>
    <row r="17" spans="1:38" x14ac:dyDescent="0.2">
      <c r="A17" s="4"/>
      <c r="B17" s="4" t="s">
        <v>80</v>
      </c>
      <c r="C17" s="2">
        <v>16</v>
      </c>
      <c r="D17" s="1" t="s">
        <v>14</v>
      </c>
      <c r="E17" s="2">
        <v>20</v>
      </c>
      <c r="F17" s="2">
        <v>32.200000000000003</v>
      </c>
      <c r="G17" s="2">
        <v>23.2</v>
      </c>
      <c r="H17" s="1">
        <v>8.6999999999999993</v>
      </c>
      <c r="I17" s="1">
        <v>20.100000000000001</v>
      </c>
      <c r="J17" s="2">
        <v>43.4</v>
      </c>
      <c r="K17" s="1">
        <v>2.9</v>
      </c>
      <c r="L17" s="1">
        <v>9</v>
      </c>
      <c r="M17" s="2">
        <v>32.200000000000003</v>
      </c>
      <c r="N17" s="2">
        <v>2.9</v>
      </c>
      <c r="O17" s="2">
        <v>3.3</v>
      </c>
      <c r="P17" s="2">
        <v>87.9</v>
      </c>
      <c r="Q17" s="2"/>
      <c r="R17" s="1">
        <v>1</v>
      </c>
      <c r="S17" s="1">
        <v>3.3</v>
      </c>
      <c r="T17" s="1">
        <v>4.3</v>
      </c>
      <c r="U17" s="1">
        <v>5.0999999999999996</v>
      </c>
      <c r="V17" s="1">
        <v>1.9</v>
      </c>
      <c r="W17" s="1">
        <v>0.2</v>
      </c>
      <c r="X17" s="1">
        <v>2.9</v>
      </c>
      <c r="Y17" s="2">
        <v>20</v>
      </c>
      <c r="Z17" s="2"/>
      <c r="AA17" s="4" t="s">
        <v>80</v>
      </c>
      <c r="AB17" s="2">
        <v>0.66700000000000004</v>
      </c>
      <c r="AC17" s="2">
        <v>48</v>
      </c>
      <c r="AD17" s="2">
        <v>113.1</v>
      </c>
      <c r="AF17" s="2">
        <v>32.200000000000003</v>
      </c>
      <c r="AG17" s="1">
        <v>20.100000000000001</v>
      </c>
      <c r="AI17">
        <f t="shared" si="0"/>
        <v>11.599999999999998</v>
      </c>
      <c r="AJ17" s="1">
        <f t="shared" si="1"/>
        <v>8.6999999999999993</v>
      </c>
      <c r="AK17" s="2">
        <v>2.9</v>
      </c>
      <c r="AL17">
        <v>21</v>
      </c>
    </row>
    <row r="18" spans="1:38" x14ac:dyDescent="0.2">
      <c r="A18" s="4"/>
      <c r="B18" s="4" t="s">
        <v>81</v>
      </c>
      <c r="C18" s="2">
        <v>17</v>
      </c>
      <c r="D18" s="1" t="s">
        <v>15</v>
      </c>
      <c r="E18" s="2">
        <v>19</v>
      </c>
      <c r="F18" s="2">
        <v>36.1</v>
      </c>
      <c r="G18" s="2">
        <v>22.7</v>
      </c>
      <c r="H18" s="1">
        <v>8.6999999999999993</v>
      </c>
      <c r="I18" s="1">
        <v>20.100000000000001</v>
      </c>
      <c r="J18" s="2">
        <v>43.5</v>
      </c>
      <c r="K18" s="1">
        <v>1.7</v>
      </c>
      <c r="L18" s="1">
        <v>6.3</v>
      </c>
      <c r="M18" s="2">
        <v>26.9</v>
      </c>
      <c r="N18" s="2">
        <v>3.6</v>
      </c>
      <c r="O18" s="2">
        <v>4</v>
      </c>
      <c r="P18" s="2">
        <v>89.5</v>
      </c>
      <c r="Q18" s="2"/>
      <c r="R18" s="1">
        <v>0.9</v>
      </c>
      <c r="S18" s="1">
        <v>4.2</v>
      </c>
      <c r="T18" s="1">
        <v>5.0999999999999996</v>
      </c>
      <c r="U18" s="1">
        <v>6.2</v>
      </c>
      <c r="V18" s="1">
        <v>1</v>
      </c>
      <c r="W18" s="1">
        <v>0.3</v>
      </c>
      <c r="X18" s="1">
        <v>3.8</v>
      </c>
      <c r="Y18" s="2">
        <v>19.7</v>
      </c>
      <c r="Z18" s="2"/>
      <c r="AA18" s="4" t="s">
        <v>81</v>
      </c>
      <c r="AB18" s="2">
        <v>0.63600000000000001</v>
      </c>
      <c r="AC18" s="2">
        <v>48.7</v>
      </c>
      <c r="AD18" s="2">
        <v>106.2</v>
      </c>
      <c r="AF18" s="2">
        <v>36.1</v>
      </c>
      <c r="AG18" s="1">
        <v>20.100000000000001</v>
      </c>
      <c r="AI18">
        <f t="shared" si="0"/>
        <v>13.999999999999998</v>
      </c>
      <c r="AJ18" s="1">
        <f t="shared" si="1"/>
        <v>5.0999999999999996</v>
      </c>
      <c r="AK18" s="2">
        <v>3.6</v>
      </c>
      <c r="AL18">
        <v>14</v>
      </c>
    </row>
    <row r="19" spans="1:38" x14ac:dyDescent="0.2">
      <c r="A19" s="4"/>
      <c r="B19" s="4" t="s">
        <v>70</v>
      </c>
      <c r="C19" s="2">
        <v>19</v>
      </c>
      <c r="D19" s="1" t="s">
        <v>16</v>
      </c>
      <c r="E19" s="2">
        <v>17</v>
      </c>
      <c r="F19" s="2">
        <v>34.299999999999997</v>
      </c>
      <c r="G19" s="2">
        <v>21.8</v>
      </c>
      <c r="H19" s="1">
        <v>8.1999999999999993</v>
      </c>
      <c r="I19" s="1">
        <v>18.600000000000001</v>
      </c>
      <c r="J19" s="2">
        <v>44.2</v>
      </c>
      <c r="K19" s="1">
        <v>1.8</v>
      </c>
      <c r="L19" s="1">
        <v>4.5999999999999996</v>
      </c>
      <c r="M19" s="2">
        <v>38</v>
      </c>
      <c r="N19" s="2">
        <v>3.6</v>
      </c>
      <c r="O19" s="2">
        <v>4.2</v>
      </c>
      <c r="P19" s="2">
        <v>84.7</v>
      </c>
      <c r="Q19" s="2"/>
      <c r="R19" s="1">
        <v>0.8</v>
      </c>
      <c r="S19" s="1">
        <v>5.4</v>
      </c>
      <c r="T19" s="1">
        <v>6.2</v>
      </c>
      <c r="U19" s="1">
        <v>4.3</v>
      </c>
      <c r="V19" s="1">
        <v>0.2</v>
      </c>
      <c r="W19" s="1">
        <v>0.4</v>
      </c>
      <c r="X19" s="1">
        <v>3.3</v>
      </c>
      <c r="Y19" s="2">
        <v>18.5</v>
      </c>
      <c r="Z19" s="2"/>
      <c r="AA19" s="4" t="s">
        <v>70</v>
      </c>
      <c r="AB19" s="2">
        <v>0.25</v>
      </c>
      <c r="AC19" s="2">
        <v>48</v>
      </c>
      <c r="AD19" s="2">
        <v>103</v>
      </c>
      <c r="AF19" s="2">
        <v>34.299999999999997</v>
      </c>
      <c r="AG19" s="1">
        <v>18.600000000000001</v>
      </c>
      <c r="AI19">
        <f t="shared" si="0"/>
        <v>12.799999999999999</v>
      </c>
      <c r="AJ19" s="1">
        <f t="shared" si="1"/>
        <v>5.4</v>
      </c>
      <c r="AK19" s="2">
        <v>3.6</v>
      </c>
      <c r="AL19">
        <v>6</v>
      </c>
    </row>
    <row r="20" spans="1:38" x14ac:dyDescent="0.2">
      <c r="A20" s="4"/>
      <c r="B20" s="4" t="s">
        <v>76</v>
      </c>
      <c r="C20" s="2">
        <v>21</v>
      </c>
      <c r="D20" s="1" t="s">
        <v>17</v>
      </c>
      <c r="E20" s="2">
        <v>20</v>
      </c>
      <c r="F20" s="2">
        <v>35.700000000000003</v>
      </c>
      <c r="G20" s="2">
        <v>21.5</v>
      </c>
      <c r="H20" s="1">
        <v>7.3</v>
      </c>
      <c r="I20" s="1">
        <v>18.399999999999999</v>
      </c>
      <c r="J20" s="2">
        <v>39.700000000000003</v>
      </c>
      <c r="K20" s="1">
        <v>2.8</v>
      </c>
      <c r="L20" s="1">
        <v>9.1</v>
      </c>
      <c r="M20" s="2">
        <v>30.2</v>
      </c>
      <c r="N20" s="2">
        <v>4.0999999999999996</v>
      </c>
      <c r="O20" s="2">
        <v>4.5</v>
      </c>
      <c r="P20" s="2">
        <v>91.1</v>
      </c>
      <c r="Q20" s="2"/>
      <c r="R20" s="1">
        <v>0.4</v>
      </c>
      <c r="S20" s="1">
        <v>3.6</v>
      </c>
      <c r="T20" s="1">
        <v>4</v>
      </c>
      <c r="U20" s="1">
        <v>7.8</v>
      </c>
      <c r="V20" s="1">
        <v>0.7</v>
      </c>
      <c r="W20" s="1">
        <v>0.4</v>
      </c>
      <c r="X20" s="1">
        <v>2.6</v>
      </c>
      <c r="Y20" s="2">
        <v>20.2</v>
      </c>
      <c r="Z20" s="2"/>
      <c r="AA20" s="4" t="s">
        <v>76</v>
      </c>
      <c r="AB20" s="2">
        <v>0.5</v>
      </c>
      <c r="AC20" s="2">
        <v>48</v>
      </c>
      <c r="AD20" s="2">
        <v>110.4</v>
      </c>
      <c r="AF20" s="2">
        <v>35.700000000000003</v>
      </c>
      <c r="AG20" s="1">
        <v>18.399999999999999</v>
      </c>
      <c r="AI20">
        <f t="shared" si="0"/>
        <v>9</v>
      </c>
      <c r="AJ20" s="1">
        <f t="shared" si="1"/>
        <v>8.3999999999999986</v>
      </c>
      <c r="AK20" s="2">
        <v>4.0999999999999996</v>
      </c>
      <c r="AL20">
        <v>11</v>
      </c>
    </row>
    <row r="21" spans="1:38" x14ac:dyDescent="0.2">
      <c r="A21" s="4"/>
      <c r="B21" t="s">
        <v>72</v>
      </c>
      <c r="C21" s="2">
        <v>22</v>
      </c>
      <c r="D21" s="1" t="s">
        <v>18</v>
      </c>
      <c r="E21" s="2">
        <v>19</v>
      </c>
      <c r="F21" s="2">
        <v>34.9</v>
      </c>
      <c r="G21" s="2">
        <v>21.2</v>
      </c>
      <c r="H21" s="1">
        <v>7.4</v>
      </c>
      <c r="I21" s="1">
        <v>17.899999999999999</v>
      </c>
      <c r="J21" s="2">
        <v>41.1</v>
      </c>
      <c r="K21" s="1">
        <v>2.1</v>
      </c>
      <c r="L21" s="1">
        <v>6.8</v>
      </c>
      <c r="M21" s="2">
        <v>30</v>
      </c>
      <c r="N21" s="2">
        <v>4.4000000000000004</v>
      </c>
      <c r="O21" s="2">
        <v>5.6</v>
      </c>
      <c r="P21" s="2">
        <v>78.5</v>
      </c>
      <c r="Q21" s="2"/>
      <c r="R21" s="1">
        <v>0.6</v>
      </c>
      <c r="S21" s="1">
        <v>4.5</v>
      </c>
      <c r="T21" s="1">
        <v>5.0999999999999996</v>
      </c>
      <c r="U21" s="1">
        <v>4.5</v>
      </c>
      <c r="V21" s="1">
        <v>1.1000000000000001</v>
      </c>
      <c r="W21" s="1">
        <v>0.6</v>
      </c>
      <c r="X21" s="1">
        <v>2.4</v>
      </c>
      <c r="Y21" s="2">
        <v>18.2</v>
      </c>
      <c r="Z21" s="2"/>
      <c r="AA21" t="s">
        <v>72</v>
      </c>
      <c r="AB21" s="2">
        <v>0.28599999999999998</v>
      </c>
      <c r="AC21" s="2">
        <v>48</v>
      </c>
      <c r="AD21" s="2">
        <v>99</v>
      </c>
      <c r="AF21" s="2">
        <v>34.9</v>
      </c>
      <c r="AG21" s="1">
        <v>17.899999999999999</v>
      </c>
      <c r="AI21">
        <f t="shared" si="0"/>
        <v>10.600000000000001</v>
      </c>
      <c r="AJ21" s="1">
        <f t="shared" si="1"/>
        <v>6.3000000000000007</v>
      </c>
      <c r="AK21" s="2">
        <v>4.4000000000000004</v>
      </c>
      <c r="AL21">
        <v>6</v>
      </c>
    </row>
    <row r="22" spans="1:38" x14ac:dyDescent="0.2">
      <c r="A22" s="4"/>
      <c r="B22" s="4" t="s">
        <v>64</v>
      </c>
      <c r="C22" s="2">
        <v>23</v>
      </c>
      <c r="D22" s="1" t="s">
        <v>19</v>
      </c>
      <c r="E22" s="2">
        <v>19</v>
      </c>
      <c r="F22" s="2">
        <v>35.4</v>
      </c>
      <c r="G22" s="2">
        <v>21</v>
      </c>
      <c r="H22" s="1">
        <v>7.5</v>
      </c>
      <c r="I22" s="1">
        <v>16.399999999999999</v>
      </c>
      <c r="J22" s="2">
        <v>46</v>
      </c>
      <c r="K22" s="1">
        <v>2</v>
      </c>
      <c r="L22" s="1">
        <v>6.2</v>
      </c>
      <c r="M22" s="2">
        <v>32.5</v>
      </c>
      <c r="N22" s="2">
        <v>3.9</v>
      </c>
      <c r="O22" s="2">
        <v>4.5</v>
      </c>
      <c r="P22" s="2">
        <v>87.2</v>
      </c>
      <c r="Q22" s="2"/>
      <c r="R22" s="1">
        <v>0.9</v>
      </c>
      <c r="S22" s="1">
        <v>4.9000000000000004</v>
      </c>
      <c r="T22" s="1">
        <v>5.8</v>
      </c>
      <c r="U22" s="1">
        <v>6.1</v>
      </c>
      <c r="V22" s="1">
        <v>0.9</v>
      </c>
      <c r="W22" s="1">
        <v>0.6</v>
      </c>
      <c r="X22" s="1">
        <v>2.2999999999999998</v>
      </c>
      <c r="Y22" s="2">
        <v>22.6</v>
      </c>
      <c r="Z22" s="2"/>
      <c r="AA22" s="4" t="s">
        <v>64</v>
      </c>
      <c r="AB22" s="2">
        <v>0.375</v>
      </c>
      <c r="AC22" s="2">
        <v>48.6</v>
      </c>
      <c r="AD22" s="2">
        <v>107.4</v>
      </c>
      <c r="AF22" s="2">
        <v>35.4</v>
      </c>
      <c r="AG22" s="1">
        <v>16.399999999999999</v>
      </c>
      <c r="AI22">
        <f t="shared" si="0"/>
        <v>11</v>
      </c>
      <c r="AJ22" s="1">
        <f t="shared" si="1"/>
        <v>6</v>
      </c>
      <c r="AK22" s="2">
        <v>3.9</v>
      </c>
      <c r="AL22">
        <v>9</v>
      </c>
    </row>
    <row r="23" spans="1:38" x14ac:dyDescent="0.2">
      <c r="A23" s="4"/>
      <c r="B23" s="4" t="s">
        <v>77</v>
      </c>
      <c r="C23" s="2">
        <v>27</v>
      </c>
      <c r="D23" s="1" t="s">
        <v>20</v>
      </c>
      <c r="E23" s="2">
        <v>23</v>
      </c>
      <c r="F23" s="2">
        <v>34.799999999999997</v>
      </c>
      <c r="G23" s="2">
        <v>20.3</v>
      </c>
      <c r="H23" s="1">
        <v>7.5</v>
      </c>
      <c r="I23" s="1">
        <v>17.3</v>
      </c>
      <c r="J23" s="2">
        <v>43.2</v>
      </c>
      <c r="K23" s="1">
        <v>1.2</v>
      </c>
      <c r="L23" s="1">
        <v>4.3</v>
      </c>
      <c r="M23" s="2">
        <v>27.3</v>
      </c>
      <c r="N23" s="2">
        <v>4.0999999999999996</v>
      </c>
      <c r="O23" s="2">
        <v>5.5</v>
      </c>
      <c r="P23" s="2">
        <v>74.8</v>
      </c>
      <c r="Q23" s="2"/>
      <c r="R23" s="1">
        <v>0.6</v>
      </c>
      <c r="S23" s="1">
        <v>3</v>
      </c>
      <c r="T23" s="1">
        <v>3.5</v>
      </c>
      <c r="U23" s="1">
        <v>5.5</v>
      </c>
      <c r="V23" s="1">
        <v>1.3</v>
      </c>
      <c r="W23" s="1">
        <v>0.5</v>
      </c>
      <c r="X23" s="1">
        <v>3</v>
      </c>
      <c r="Y23" s="2">
        <v>16.899999999999999</v>
      </c>
      <c r="Z23" s="2"/>
      <c r="AA23" s="4" t="s">
        <v>77</v>
      </c>
      <c r="AB23" s="2">
        <v>0.39100000000000001</v>
      </c>
      <c r="AC23" s="2">
        <v>48.7</v>
      </c>
      <c r="AD23" s="2">
        <v>110</v>
      </c>
      <c r="AF23" s="2">
        <v>34.799999999999997</v>
      </c>
      <c r="AG23" s="1">
        <v>17.3</v>
      </c>
      <c r="AI23">
        <f t="shared" si="0"/>
        <v>12.6</v>
      </c>
      <c r="AJ23" s="1">
        <f t="shared" si="1"/>
        <v>3.5999999999999996</v>
      </c>
      <c r="AK23" s="2">
        <v>4.0999999999999996</v>
      </c>
      <c r="AL23">
        <v>9</v>
      </c>
    </row>
    <row r="24" spans="1:38" x14ac:dyDescent="0.2">
      <c r="A24" s="4"/>
      <c r="B24" s="4" t="s">
        <v>57</v>
      </c>
      <c r="C24" s="2">
        <v>28</v>
      </c>
      <c r="D24" s="1" t="s">
        <v>21</v>
      </c>
      <c r="E24" s="2">
        <v>24</v>
      </c>
      <c r="F24" s="2">
        <v>33.299999999999997</v>
      </c>
      <c r="G24" s="2">
        <v>20</v>
      </c>
      <c r="H24" s="1">
        <v>7.3</v>
      </c>
      <c r="I24" s="1">
        <v>17.3</v>
      </c>
      <c r="J24" s="2">
        <v>41.8</v>
      </c>
      <c r="K24" s="1">
        <v>2.9</v>
      </c>
      <c r="L24" s="1">
        <v>7.5</v>
      </c>
      <c r="M24" s="2">
        <v>39.1</v>
      </c>
      <c r="N24" s="2">
        <v>2.6</v>
      </c>
      <c r="O24" s="2">
        <v>2.9</v>
      </c>
      <c r="P24" s="2">
        <v>90</v>
      </c>
      <c r="Q24" s="2"/>
      <c r="R24" s="1">
        <v>1.5</v>
      </c>
      <c r="S24" s="1">
        <v>6.2</v>
      </c>
      <c r="T24" s="1">
        <v>7.7</v>
      </c>
      <c r="U24" s="1">
        <v>8.3000000000000007</v>
      </c>
      <c r="V24" s="1">
        <v>1.9</v>
      </c>
      <c r="W24" s="1">
        <v>0.4</v>
      </c>
      <c r="X24" s="1">
        <v>3.3</v>
      </c>
      <c r="Y24" s="2">
        <v>24.7</v>
      </c>
      <c r="Z24" s="2"/>
      <c r="AA24" s="4" t="s">
        <v>57</v>
      </c>
      <c r="AB24" s="2">
        <v>0.54200000000000004</v>
      </c>
      <c r="AC24" s="2">
        <v>48.6</v>
      </c>
      <c r="AD24" s="2">
        <v>114.9</v>
      </c>
      <c r="AF24" s="2">
        <v>33.299999999999997</v>
      </c>
      <c r="AG24" s="1">
        <v>17.3</v>
      </c>
      <c r="AI24">
        <f t="shared" si="0"/>
        <v>8.8000000000000007</v>
      </c>
      <c r="AJ24" s="1">
        <f t="shared" si="1"/>
        <v>8.6999999999999993</v>
      </c>
      <c r="AK24" s="2">
        <v>2.6</v>
      </c>
      <c r="AL24">
        <v>13</v>
      </c>
    </row>
    <row r="25" spans="1:38" x14ac:dyDescent="0.2">
      <c r="A25" s="4"/>
      <c r="B25" s="4" t="s">
        <v>73</v>
      </c>
      <c r="C25" s="2">
        <v>29</v>
      </c>
      <c r="D25" s="1" t="s">
        <v>22</v>
      </c>
      <c r="E25" s="2">
        <v>17</v>
      </c>
      <c r="F25" s="2">
        <v>34.200000000000003</v>
      </c>
      <c r="G25" s="2">
        <v>19.899999999999999</v>
      </c>
      <c r="H25" s="1">
        <v>6.9</v>
      </c>
      <c r="I25" s="1">
        <v>16.399999999999999</v>
      </c>
      <c r="J25" s="2">
        <v>42.1</v>
      </c>
      <c r="K25" s="1">
        <v>2.7</v>
      </c>
      <c r="L25" s="1">
        <v>7.5</v>
      </c>
      <c r="M25" s="2">
        <v>35.9</v>
      </c>
      <c r="N25" s="2">
        <v>3.4</v>
      </c>
      <c r="O25" s="2">
        <v>3.9</v>
      </c>
      <c r="P25" s="2">
        <v>86.6</v>
      </c>
      <c r="Q25" s="2"/>
      <c r="R25" s="1">
        <v>0.5</v>
      </c>
      <c r="S25" s="1">
        <v>6.3</v>
      </c>
      <c r="T25" s="1">
        <v>6.8</v>
      </c>
      <c r="U25" s="1">
        <v>5.9</v>
      </c>
      <c r="V25" s="1">
        <v>1.1000000000000001</v>
      </c>
      <c r="W25" s="1">
        <v>0.2</v>
      </c>
      <c r="X25" s="1">
        <v>2.8</v>
      </c>
      <c r="Y25" s="2">
        <v>21.1</v>
      </c>
      <c r="Z25" s="2"/>
      <c r="AA25" s="4" t="s">
        <v>73</v>
      </c>
      <c r="AB25" s="2">
        <v>0.217</v>
      </c>
      <c r="AC25" s="2">
        <v>48</v>
      </c>
      <c r="AD25" s="2">
        <v>100</v>
      </c>
      <c r="AF25" s="2">
        <v>34.200000000000003</v>
      </c>
      <c r="AG25" s="1">
        <v>16.399999999999999</v>
      </c>
      <c r="AI25">
        <f t="shared" si="0"/>
        <v>8.4</v>
      </c>
      <c r="AJ25" s="1">
        <f t="shared" si="1"/>
        <v>8.1000000000000014</v>
      </c>
      <c r="AK25" s="2">
        <v>3.4</v>
      </c>
      <c r="AL25">
        <v>5</v>
      </c>
    </row>
    <row r="26" spans="1:38" x14ac:dyDescent="0.2">
      <c r="A26" s="4"/>
      <c r="B26" s="4" t="s">
        <v>79</v>
      </c>
      <c r="C26" s="2">
        <v>31</v>
      </c>
      <c r="D26" s="1" t="s">
        <v>23</v>
      </c>
      <c r="E26" s="2">
        <v>21</v>
      </c>
      <c r="F26" s="2">
        <v>38.299999999999997</v>
      </c>
      <c r="G26" s="2">
        <v>19.899999999999999</v>
      </c>
      <c r="H26" s="1">
        <v>7.1</v>
      </c>
      <c r="I26" s="1">
        <v>16.2</v>
      </c>
      <c r="J26" s="2">
        <v>44.1</v>
      </c>
      <c r="K26" s="1">
        <v>3.1</v>
      </c>
      <c r="L26" s="1">
        <v>8</v>
      </c>
      <c r="M26" s="2">
        <v>38.700000000000003</v>
      </c>
      <c r="N26" s="2">
        <v>2.5</v>
      </c>
      <c r="O26" s="2">
        <v>2.9</v>
      </c>
      <c r="P26" s="2">
        <v>85.2</v>
      </c>
      <c r="Q26" s="2"/>
      <c r="R26" s="1">
        <v>0.8</v>
      </c>
      <c r="S26" s="1">
        <v>4.4000000000000004</v>
      </c>
      <c r="T26" s="1">
        <v>5.2</v>
      </c>
      <c r="U26" s="1">
        <v>6.3</v>
      </c>
      <c r="V26" s="1">
        <v>1.6</v>
      </c>
      <c r="W26" s="1">
        <v>0.6</v>
      </c>
      <c r="X26" s="1">
        <v>3.2</v>
      </c>
      <c r="Y26" s="2">
        <v>21</v>
      </c>
      <c r="Z26" s="2"/>
      <c r="AA26" s="4" t="s">
        <v>79</v>
      </c>
      <c r="AB26" s="2">
        <v>0.40899999999999997</v>
      </c>
      <c r="AC26" s="2">
        <v>48</v>
      </c>
      <c r="AD26" s="2">
        <v>105.2</v>
      </c>
      <c r="AF26" s="2">
        <v>38.299999999999997</v>
      </c>
      <c r="AG26" s="1">
        <v>16.2</v>
      </c>
      <c r="AI26">
        <f t="shared" si="0"/>
        <v>7.9999999999999991</v>
      </c>
      <c r="AJ26" s="1">
        <f t="shared" si="1"/>
        <v>9.3000000000000007</v>
      </c>
      <c r="AK26" s="2">
        <v>2.5</v>
      </c>
      <c r="AL26">
        <v>9</v>
      </c>
    </row>
    <row r="27" spans="1:38" x14ac:dyDescent="0.2">
      <c r="A27" s="4"/>
      <c r="B27" s="4" t="s">
        <v>62</v>
      </c>
      <c r="C27" s="2">
        <v>33</v>
      </c>
      <c r="D27" s="1" t="s">
        <v>24</v>
      </c>
      <c r="E27" s="2">
        <v>20</v>
      </c>
      <c r="F27" s="2">
        <v>32.799999999999997</v>
      </c>
      <c r="G27" s="2">
        <v>19.5</v>
      </c>
      <c r="H27" s="1">
        <v>6.4</v>
      </c>
      <c r="I27" s="1">
        <v>15.9</v>
      </c>
      <c r="J27" s="2">
        <v>40.4</v>
      </c>
      <c r="K27" s="1">
        <v>1.8</v>
      </c>
      <c r="L27" s="1">
        <v>5.6</v>
      </c>
      <c r="M27" s="2">
        <v>32.1</v>
      </c>
      <c r="N27" s="2">
        <v>4.9000000000000004</v>
      </c>
      <c r="O27" s="2">
        <v>5.8</v>
      </c>
      <c r="P27" s="2">
        <v>83.6</v>
      </c>
      <c r="Q27" s="2"/>
      <c r="R27" s="1">
        <v>1</v>
      </c>
      <c r="S27" s="1">
        <v>3.8</v>
      </c>
      <c r="T27" s="1">
        <v>4.7</v>
      </c>
      <c r="U27" s="1">
        <v>2.5</v>
      </c>
      <c r="V27" s="1">
        <v>1.2</v>
      </c>
      <c r="W27" s="1">
        <v>1</v>
      </c>
      <c r="X27" s="1">
        <v>2.1</v>
      </c>
      <c r="Y27" s="2">
        <v>16.3</v>
      </c>
      <c r="Z27" s="2"/>
      <c r="AA27" s="4" t="s">
        <v>62</v>
      </c>
      <c r="AB27" s="2">
        <v>0.19</v>
      </c>
      <c r="AC27" s="2">
        <v>48</v>
      </c>
      <c r="AD27" s="2">
        <v>98.7</v>
      </c>
      <c r="AF27" s="2">
        <v>32.799999999999997</v>
      </c>
      <c r="AG27" s="1">
        <v>15.9</v>
      </c>
      <c r="AI27">
        <f t="shared" si="0"/>
        <v>9.2000000000000011</v>
      </c>
      <c r="AJ27" s="1">
        <f t="shared" si="1"/>
        <v>5.4</v>
      </c>
      <c r="AK27" s="2">
        <v>4.9000000000000004</v>
      </c>
      <c r="AL27">
        <v>4</v>
      </c>
    </row>
    <row r="28" spans="1:38" x14ac:dyDescent="0.2">
      <c r="A28" s="4"/>
      <c r="B28" s="4" t="s">
        <v>71</v>
      </c>
      <c r="C28" s="2">
        <v>34</v>
      </c>
      <c r="D28" s="1" t="s">
        <v>25</v>
      </c>
      <c r="E28" s="2">
        <v>21</v>
      </c>
      <c r="F28" s="2">
        <v>35.200000000000003</v>
      </c>
      <c r="G28" s="2">
        <v>19.399999999999999</v>
      </c>
      <c r="H28" s="1">
        <v>7</v>
      </c>
      <c r="I28" s="1">
        <v>16.7</v>
      </c>
      <c r="J28" s="2">
        <v>41.7</v>
      </c>
      <c r="K28" s="1">
        <v>1.8</v>
      </c>
      <c r="L28" s="1">
        <v>5.4</v>
      </c>
      <c r="M28" s="2">
        <v>32.5</v>
      </c>
      <c r="N28" s="2">
        <v>3.8</v>
      </c>
      <c r="O28" s="2">
        <v>5</v>
      </c>
      <c r="P28" s="2">
        <v>76</v>
      </c>
      <c r="Q28" s="2"/>
      <c r="R28" s="1">
        <v>1.8</v>
      </c>
      <c r="S28" s="1">
        <v>8.3000000000000007</v>
      </c>
      <c r="T28" s="1">
        <v>10.1</v>
      </c>
      <c r="U28" s="1">
        <v>5.0999999999999996</v>
      </c>
      <c r="V28" s="1">
        <v>0.7</v>
      </c>
      <c r="W28" s="1">
        <v>0.7</v>
      </c>
      <c r="X28" s="1">
        <v>3.2</v>
      </c>
      <c r="Y28" s="2">
        <v>21.9</v>
      </c>
      <c r="Z28" s="2"/>
      <c r="AA28" s="4" t="s">
        <v>71</v>
      </c>
      <c r="AB28" s="2">
        <v>0.52400000000000002</v>
      </c>
      <c r="AC28" s="2">
        <v>48.5</v>
      </c>
      <c r="AD28" s="2">
        <v>106.5</v>
      </c>
      <c r="AF28" s="2">
        <v>35.200000000000003</v>
      </c>
      <c r="AG28" s="1">
        <v>16.7</v>
      </c>
      <c r="AI28">
        <f t="shared" si="0"/>
        <v>10.4</v>
      </c>
      <c r="AJ28" s="1">
        <f t="shared" si="1"/>
        <v>5.4</v>
      </c>
      <c r="AK28" s="2">
        <v>3.8</v>
      </c>
      <c r="AL28">
        <v>11</v>
      </c>
    </row>
    <row r="29" spans="1:38" x14ac:dyDescent="0.2">
      <c r="B29" s="4" t="s">
        <v>78</v>
      </c>
      <c r="C29" s="2">
        <v>35</v>
      </c>
      <c r="D29" s="1" t="s">
        <v>26</v>
      </c>
      <c r="E29" s="2">
        <v>19</v>
      </c>
      <c r="F29" s="2">
        <v>34.700000000000003</v>
      </c>
      <c r="G29" s="2">
        <v>19.100000000000001</v>
      </c>
      <c r="H29" s="1">
        <v>8.1</v>
      </c>
      <c r="I29" s="1">
        <v>18.100000000000001</v>
      </c>
      <c r="J29" s="2">
        <v>44.6</v>
      </c>
      <c r="K29" s="1">
        <v>1.2</v>
      </c>
      <c r="L29" s="1">
        <v>3.8</v>
      </c>
      <c r="M29" s="2">
        <v>30.6</v>
      </c>
      <c r="N29" s="2">
        <v>1.8</v>
      </c>
      <c r="O29" s="2">
        <v>2.6</v>
      </c>
      <c r="P29" s="2">
        <v>70</v>
      </c>
      <c r="Q29" s="2"/>
      <c r="R29" s="1">
        <v>0.8</v>
      </c>
      <c r="S29" s="1">
        <v>7.6</v>
      </c>
      <c r="T29" s="1">
        <v>8.5</v>
      </c>
      <c r="U29" s="1">
        <v>8.1</v>
      </c>
      <c r="V29" s="1">
        <v>2</v>
      </c>
      <c r="W29" s="1">
        <v>0.5</v>
      </c>
      <c r="X29" s="1">
        <v>2.2999999999999998</v>
      </c>
      <c r="Y29" s="2">
        <v>25</v>
      </c>
      <c r="Z29" s="2"/>
      <c r="AA29" s="4" t="s">
        <v>78</v>
      </c>
      <c r="AB29" s="2">
        <v>0.316</v>
      </c>
      <c r="AC29" s="2">
        <v>48.3</v>
      </c>
      <c r="AD29" s="2">
        <v>107.2</v>
      </c>
      <c r="AF29" s="2">
        <v>34.700000000000003</v>
      </c>
      <c r="AG29" s="1">
        <v>18.100000000000001</v>
      </c>
      <c r="AI29">
        <f t="shared" si="0"/>
        <v>13.799999999999999</v>
      </c>
      <c r="AJ29" s="1">
        <f t="shared" si="1"/>
        <v>3.5999999999999996</v>
      </c>
      <c r="AK29" s="2">
        <v>1.8</v>
      </c>
      <c r="AL29">
        <v>6</v>
      </c>
    </row>
    <row r="30" spans="1:38" x14ac:dyDescent="0.2">
      <c r="B30" s="4" t="s">
        <v>59</v>
      </c>
      <c r="C30" s="2">
        <v>42</v>
      </c>
      <c r="D30" s="1" t="s">
        <v>27</v>
      </c>
      <c r="E30" s="2">
        <v>20</v>
      </c>
      <c r="F30" s="2">
        <v>34.700000000000003</v>
      </c>
      <c r="G30" s="2">
        <v>18.5</v>
      </c>
      <c r="H30" s="1">
        <v>7</v>
      </c>
      <c r="I30" s="1">
        <v>15.3</v>
      </c>
      <c r="J30" s="2">
        <v>45.8</v>
      </c>
      <c r="K30" s="1">
        <v>2.6</v>
      </c>
      <c r="L30" s="1">
        <v>7.1</v>
      </c>
      <c r="M30" s="2">
        <v>35.9</v>
      </c>
      <c r="N30" s="2">
        <v>2</v>
      </c>
      <c r="O30" s="2">
        <v>2.2999999999999998</v>
      </c>
      <c r="P30" s="2">
        <v>84.8</v>
      </c>
      <c r="Q30" s="2"/>
      <c r="R30" s="1">
        <v>0.4</v>
      </c>
      <c r="S30" s="1">
        <v>2.2000000000000002</v>
      </c>
      <c r="T30" s="1">
        <v>2.6</v>
      </c>
      <c r="U30" s="1">
        <v>7.2</v>
      </c>
      <c r="V30" s="1">
        <v>1.2</v>
      </c>
      <c r="W30" s="1">
        <v>0.1</v>
      </c>
      <c r="X30" s="1">
        <v>3.8</v>
      </c>
      <c r="Y30" s="2">
        <v>17</v>
      </c>
      <c r="Z30" s="2"/>
      <c r="AA30" s="4" t="s">
        <v>59</v>
      </c>
      <c r="AB30" s="2">
        <v>0.54500000000000004</v>
      </c>
      <c r="AC30" s="2">
        <v>48</v>
      </c>
      <c r="AD30" s="2">
        <v>103.9</v>
      </c>
      <c r="AF30" s="2">
        <v>34.700000000000003</v>
      </c>
      <c r="AG30" s="1">
        <v>15.3</v>
      </c>
      <c r="AI30">
        <f t="shared" si="0"/>
        <v>8.8000000000000007</v>
      </c>
      <c r="AJ30" s="1">
        <f t="shared" si="1"/>
        <v>7.8000000000000007</v>
      </c>
      <c r="AK30" s="2">
        <v>2</v>
      </c>
      <c r="AL30">
        <v>12</v>
      </c>
    </row>
    <row r="31" spans="1:38" x14ac:dyDescent="0.2">
      <c r="B31" s="4" t="s">
        <v>74</v>
      </c>
      <c r="C31" s="2">
        <v>44</v>
      </c>
      <c r="D31" s="1" t="s">
        <v>28</v>
      </c>
      <c r="E31" s="2">
        <v>22</v>
      </c>
      <c r="F31" s="2">
        <v>35.6</v>
      </c>
      <c r="G31" s="2">
        <v>17.5</v>
      </c>
      <c r="H31" s="1">
        <v>6.5</v>
      </c>
      <c r="I31" s="1">
        <v>14</v>
      </c>
      <c r="J31" s="2">
        <v>46.8</v>
      </c>
      <c r="K31" s="1">
        <v>1.2</v>
      </c>
      <c r="L31" s="1">
        <v>3.2</v>
      </c>
      <c r="M31" s="2">
        <v>36.6</v>
      </c>
      <c r="N31" s="2">
        <v>3.2</v>
      </c>
      <c r="O31" s="2">
        <v>3.6</v>
      </c>
      <c r="P31" s="2">
        <v>88.8</v>
      </c>
      <c r="Q31" s="2"/>
      <c r="R31" s="1">
        <v>0.4</v>
      </c>
      <c r="S31" s="1">
        <v>3.5</v>
      </c>
      <c r="T31" s="1">
        <v>3.9</v>
      </c>
      <c r="U31" s="1">
        <v>4.9000000000000004</v>
      </c>
      <c r="V31" s="1">
        <v>0.7</v>
      </c>
      <c r="W31" s="1">
        <v>0.6</v>
      </c>
      <c r="X31" s="1">
        <v>1.2</v>
      </c>
      <c r="Y31" s="2">
        <v>18.5</v>
      </c>
      <c r="Z31" s="2"/>
      <c r="AA31" s="4" t="s">
        <v>74</v>
      </c>
      <c r="AB31" s="2">
        <v>0.5</v>
      </c>
      <c r="AC31" s="2">
        <v>48.5</v>
      </c>
      <c r="AD31" s="2">
        <v>106.5</v>
      </c>
      <c r="AF31" s="2">
        <v>35.6</v>
      </c>
      <c r="AG31" s="1">
        <v>14</v>
      </c>
      <c r="AI31">
        <f t="shared" si="0"/>
        <v>10.6</v>
      </c>
      <c r="AJ31" s="1">
        <f t="shared" si="1"/>
        <v>3.5999999999999996</v>
      </c>
      <c r="AK31" s="2">
        <v>3.2</v>
      </c>
      <c r="AL31">
        <v>11</v>
      </c>
    </row>
    <row r="32" spans="1:38" x14ac:dyDescent="0.2">
      <c r="B32" s="4" t="s">
        <v>63</v>
      </c>
      <c r="C32" s="2">
        <v>59</v>
      </c>
      <c r="D32" s="1" t="s">
        <v>82</v>
      </c>
      <c r="E32" s="2">
        <v>21</v>
      </c>
      <c r="F32" s="2">
        <v>31.6</v>
      </c>
      <c r="G32" s="2">
        <v>16</v>
      </c>
      <c r="H32" s="1">
        <v>6.1</v>
      </c>
      <c r="I32" s="1">
        <v>13.1</v>
      </c>
      <c r="J32" s="2">
        <v>46.4</v>
      </c>
      <c r="K32" s="1">
        <v>1.5</v>
      </c>
      <c r="L32" s="1">
        <v>4.5</v>
      </c>
      <c r="M32" s="2">
        <v>34</v>
      </c>
      <c r="N32" s="2">
        <v>2.2999999999999998</v>
      </c>
      <c r="O32" s="2">
        <v>4</v>
      </c>
      <c r="P32" s="2">
        <v>57.1</v>
      </c>
      <c r="Q32" s="2"/>
      <c r="R32" s="1">
        <v>1.8</v>
      </c>
      <c r="S32" s="1">
        <v>9.4</v>
      </c>
      <c r="T32" s="1">
        <v>11.2</v>
      </c>
      <c r="U32" s="1">
        <v>2.2000000000000002</v>
      </c>
      <c r="V32" s="1">
        <v>0.5</v>
      </c>
      <c r="W32" s="1">
        <v>1</v>
      </c>
      <c r="X32" s="1">
        <v>1.9</v>
      </c>
      <c r="Y32" s="2">
        <v>20.3</v>
      </c>
      <c r="Z32" s="2"/>
      <c r="AA32" s="4" t="s">
        <v>63</v>
      </c>
      <c r="AB32" s="2">
        <v>0.23799999999999999</v>
      </c>
      <c r="AC32" s="2">
        <v>48.2</v>
      </c>
      <c r="AD32" s="2">
        <v>104</v>
      </c>
      <c r="AF32" s="2">
        <v>31.6</v>
      </c>
      <c r="AG32" s="1">
        <v>13.1</v>
      </c>
      <c r="AI32">
        <f t="shared" si="0"/>
        <v>9.1999999999999993</v>
      </c>
      <c r="AJ32" s="1">
        <f t="shared" si="1"/>
        <v>4.5</v>
      </c>
      <c r="AK32" s="2">
        <v>2.2999999999999998</v>
      </c>
      <c r="AL32">
        <v>5</v>
      </c>
    </row>
  </sheetData>
  <hyperlinks>
    <hyperlink ref="D3" r:id="rId1" display="https://www.nba.com/player/201142/traditional/" xr:uid="{AF141CBA-4BCB-0347-A5DF-F3AC474B3F55}"/>
    <hyperlink ref="H3" r:id="rId2" display="https://www.nba.com/stats/events/?flag=3&amp;CFID=&amp;CFPARAMS=&amp;PlayerID=201142&amp;TeamID=0&amp;GameID=&amp;ContextMeasure=FGM&amp;Season=2021-22&amp;SeasonType=Regular%20Season&amp;LeagueID=00&amp;PerMode=PerGame&amp;Scope=S&amp;StatCategory=PTS&amp;section=leaders" xr:uid="{22F7195C-F6FA-5842-8BF2-6403BB9C9611}"/>
    <hyperlink ref="I3" r:id="rId3" display="https://www.nba.com/stats/events/?flag=3&amp;CFID=&amp;CFPARAMS=&amp;PlayerID=201142&amp;TeamID=0&amp;GameID=&amp;ContextMeasure=FGA&amp;Season=2021-22&amp;SeasonType=Regular%20Season&amp;LeagueID=00&amp;PerMode=PerGame&amp;Scope=S&amp;StatCategory=PTS&amp;section=leaders" xr:uid="{77C63078-5271-C44D-9FEC-44F93340C029}"/>
    <hyperlink ref="K3" r:id="rId4" display="https://www.nba.com/stats/events/?flag=3&amp;CFID=&amp;CFPARAMS=&amp;PlayerID=201142&amp;TeamID=0&amp;GameID=&amp;ContextMeasure=FG3M&amp;Season=2021-22&amp;SeasonType=Regular%20Season&amp;LeagueID=00&amp;PerMode=PerGame&amp;Scope=S&amp;StatCategory=PTS&amp;section=leaders" xr:uid="{BF353CA1-4DFC-444F-A179-BF3237648D59}"/>
    <hyperlink ref="L3" r:id="rId5" display="https://www.nba.com/stats/events/?flag=3&amp;CFID=&amp;CFPARAMS=&amp;PlayerID=201142&amp;TeamID=0&amp;GameID=&amp;ContextMeasure=FG3A&amp;Season=2021-22&amp;SeasonType=Regular%20Season&amp;LeagueID=00&amp;PerMode=PerGame&amp;Scope=S&amp;StatCategory=PTS&amp;section=leaders" xr:uid="{D5D74791-8689-6F4F-9B97-5DA4B8D4BE38}"/>
    <hyperlink ref="R3" r:id="rId6" display="https://www.nba.com/stats/events/?flag=1&amp;CFID=&amp;CFPARAMS=&amp;PlayerID=201142&amp;TeamID=0&amp;GameID=&amp;ContextMeasure=OREB&amp;Season=2021-22&amp;SeasonType=Regular%20Season&amp;LeagueID=00&amp;PerMode=PerGame&amp;Scope=S&amp;StatCategory=PTS&amp;section=leaders" xr:uid="{8C822C72-BB8C-534E-BBBE-8E5FB2A37A2C}"/>
    <hyperlink ref="S3" r:id="rId7" display="https://www.nba.com/stats/events/?flag=1&amp;CFID=&amp;CFPARAMS=&amp;PlayerID=201142&amp;TeamID=0&amp;GameID=&amp;ContextMeasure=DREB&amp;Season=2021-22&amp;SeasonType=Regular%20Season&amp;LeagueID=00&amp;PerMode=PerGame&amp;Scope=S&amp;StatCategory=PTS&amp;section=leaders" xr:uid="{C97CDA96-3753-F14E-B175-44AAFCBFB072}"/>
    <hyperlink ref="T3" r:id="rId8" display="https://www.nba.com/stats/events/?flag=1&amp;CFID=&amp;CFPARAMS=&amp;PlayerID=201142&amp;TeamID=0&amp;GameID=&amp;ContextMeasure=REB&amp;Season=2021-22&amp;SeasonType=Regular%20Season&amp;LeagueID=00&amp;PerMode=PerGame&amp;Scope=S&amp;StatCategory=PTS&amp;section=leaders" xr:uid="{A0B45952-24AD-7C46-89A6-E81A946829D3}"/>
    <hyperlink ref="U3" r:id="rId9" display="https://www.nba.com/stats/events/?flag=1&amp;CFID=&amp;CFPARAMS=&amp;PlayerID=201142&amp;TeamID=0&amp;GameID=&amp;ContextMeasure=AST&amp;Season=2021-22&amp;SeasonType=Regular%20Season&amp;LeagueID=00&amp;PerMode=PerGame&amp;Scope=S&amp;StatCategory=PTS&amp;section=leaders" xr:uid="{93B6DDAC-6E9B-1D44-A8E0-62B3AAA0BB99}"/>
    <hyperlink ref="V3" r:id="rId10" display="https://www.nba.com/stats/events/?flag=1&amp;CFID=&amp;CFPARAMS=&amp;PlayerID=201142&amp;TeamID=0&amp;GameID=&amp;ContextMeasure=STL&amp;Season=2021-22&amp;SeasonType=Regular%20Season&amp;LeagueID=00&amp;PerMode=PerGame&amp;Scope=S&amp;StatCategory=PTS&amp;section=leaders" xr:uid="{2BEF3960-9D68-E94F-A6F3-DF69B33567F8}"/>
    <hyperlink ref="W3" r:id="rId11" display="https://www.nba.com/stats/events/?flag=1&amp;CFID=&amp;CFPARAMS=&amp;PlayerID=201142&amp;TeamID=0&amp;GameID=&amp;ContextMeasure=BLK&amp;Season=2021-22&amp;SeasonType=Regular%20Season&amp;LeagueID=00&amp;PerMode=PerGame&amp;Scope=S&amp;StatCategory=PTS&amp;section=leaders" xr:uid="{E6076431-523B-0B42-A5A0-E73838929D0A}"/>
    <hyperlink ref="X3" r:id="rId12" display="https://www.nba.com/stats/events/?flag=1&amp;CFID=&amp;CFPARAMS=&amp;PlayerID=201142&amp;TeamID=0&amp;GameID=&amp;ContextMeasure=TOV&amp;Season=2021-22&amp;SeasonType=Regular%20Season&amp;LeagueID=00&amp;PerMode=PerGame&amp;Scope=S&amp;StatCategory=PTS&amp;section=leaders" xr:uid="{C6C32F57-D566-5E42-BF34-004CBDCD13C3}"/>
    <hyperlink ref="D4" r:id="rId13" display="https://www.nba.com/player/201939/traditional/" xr:uid="{2050FF6F-4FE9-8043-8EF0-B993F67314F9}"/>
    <hyperlink ref="H4" r:id="rId14" display="https://www.nba.com/stats/events/?flag=3&amp;CFID=&amp;CFPARAMS=&amp;PlayerID=201939&amp;TeamID=0&amp;GameID=&amp;ContextMeasure=FGM&amp;Season=2021-22&amp;SeasonType=Regular%20Season&amp;LeagueID=00&amp;PerMode=PerGame&amp;Scope=S&amp;StatCategory=PTS&amp;section=leaders" xr:uid="{0C8C19E3-CE58-F240-87F7-6A9E47DE3D25}"/>
    <hyperlink ref="I4" r:id="rId15" display="https://www.nba.com/stats/events/?flag=3&amp;CFID=&amp;CFPARAMS=&amp;PlayerID=201939&amp;TeamID=0&amp;GameID=&amp;ContextMeasure=FGA&amp;Season=2021-22&amp;SeasonType=Regular%20Season&amp;LeagueID=00&amp;PerMode=PerGame&amp;Scope=S&amp;StatCategory=PTS&amp;section=leaders" xr:uid="{1600264D-4056-3143-A0C9-8A143801270E}"/>
    <hyperlink ref="K4" r:id="rId16" display="https://www.nba.com/stats/events/?flag=3&amp;CFID=&amp;CFPARAMS=&amp;PlayerID=201939&amp;TeamID=0&amp;GameID=&amp;ContextMeasure=FG3M&amp;Season=2021-22&amp;SeasonType=Regular%20Season&amp;LeagueID=00&amp;PerMode=PerGame&amp;Scope=S&amp;StatCategory=PTS&amp;section=leaders" xr:uid="{B5CD6380-C1F0-814F-A4A1-A623FD8959B1}"/>
    <hyperlink ref="L4" r:id="rId17" display="https://www.nba.com/stats/events/?flag=3&amp;CFID=&amp;CFPARAMS=&amp;PlayerID=201939&amp;TeamID=0&amp;GameID=&amp;ContextMeasure=FG3A&amp;Season=2021-22&amp;SeasonType=Regular%20Season&amp;LeagueID=00&amp;PerMode=PerGame&amp;Scope=S&amp;StatCategory=PTS&amp;section=leaders" xr:uid="{17113489-42CD-CC4A-8AB2-372259759007}"/>
    <hyperlink ref="R4" r:id="rId18" display="https://www.nba.com/stats/events/?flag=1&amp;CFID=&amp;CFPARAMS=&amp;PlayerID=201939&amp;TeamID=0&amp;GameID=&amp;ContextMeasure=OREB&amp;Season=2021-22&amp;SeasonType=Regular%20Season&amp;LeagueID=00&amp;PerMode=PerGame&amp;Scope=S&amp;StatCategory=PTS&amp;section=leaders" xr:uid="{6990EE9D-5C1E-1E4D-AA8B-E225D81E1B14}"/>
    <hyperlink ref="S4" r:id="rId19" display="https://www.nba.com/stats/events/?flag=1&amp;CFID=&amp;CFPARAMS=&amp;PlayerID=201939&amp;TeamID=0&amp;GameID=&amp;ContextMeasure=DREB&amp;Season=2021-22&amp;SeasonType=Regular%20Season&amp;LeagueID=00&amp;PerMode=PerGame&amp;Scope=S&amp;StatCategory=PTS&amp;section=leaders" xr:uid="{F3428642-0E66-2643-A3C1-D60640EFD9E5}"/>
    <hyperlink ref="T4" r:id="rId20" display="https://www.nba.com/stats/events/?flag=1&amp;CFID=&amp;CFPARAMS=&amp;PlayerID=201939&amp;TeamID=0&amp;GameID=&amp;ContextMeasure=REB&amp;Season=2021-22&amp;SeasonType=Regular%20Season&amp;LeagueID=00&amp;PerMode=PerGame&amp;Scope=S&amp;StatCategory=PTS&amp;section=leaders" xr:uid="{6B8F34C9-0506-DB49-BE96-50FA7006BE67}"/>
    <hyperlink ref="U4" r:id="rId21" display="https://www.nba.com/stats/events/?flag=1&amp;CFID=&amp;CFPARAMS=&amp;PlayerID=201939&amp;TeamID=0&amp;GameID=&amp;ContextMeasure=AST&amp;Season=2021-22&amp;SeasonType=Regular%20Season&amp;LeagueID=00&amp;PerMode=PerGame&amp;Scope=S&amp;StatCategory=PTS&amp;section=leaders" xr:uid="{C77A0BC5-5D7A-1D46-B926-E00B735C1823}"/>
    <hyperlink ref="V4" r:id="rId22" display="https://www.nba.com/stats/events/?flag=1&amp;CFID=&amp;CFPARAMS=&amp;PlayerID=201939&amp;TeamID=0&amp;GameID=&amp;ContextMeasure=STL&amp;Season=2021-22&amp;SeasonType=Regular%20Season&amp;LeagueID=00&amp;PerMode=PerGame&amp;Scope=S&amp;StatCategory=PTS&amp;section=leaders" xr:uid="{6F36DC73-C867-2748-A675-3CBCD9D5DBA0}"/>
    <hyperlink ref="W4" r:id="rId23" display="https://www.nba.com/stats/events/?flag=1&amp;CFID=&amp;CFPARAMS=&amp;PlayerID=201939&amp;TeamID=0&amp;GameID=&amp;ContextMeasure=BLK&amp;Season=2021-22&amp;SeasonType=Regular%20Season&amp;LeagueID=00&amp;PerMode=PerGame&amp;Scope=S&amp;StatCategory=PTS&amp;section=leaders" xr:uid="{67699CEE-6517-9845-B145-CA222C03D37E}"/>
    <hyperlink ref="X4" r:id="rId24" display="https://www.nba.com/stats/events/?flag=1&amp;CFID=&amp;CFPARAMS=&amp;PlayerID=201939&amp;TeamID=0&amp;GameID=&amp;ContextMeasure=TOV&amp;Season=2021-22&amp;SeasonType=Regular%20Season&amp;LeagueID=00&amp;PerMode=PerGame&amp;Scope=S&amp;StatCategory=PTS&amp;section=leaders" xr:uid="{A79CA1AE-0572-3D4F-8E18-C2245F316233}"/>
    <hyperlink ref="D5" r:id="rId25" display="https://www.nba.com/player/203507/traditional/" xr:uid="{54B03E2B-9321-FB4D-A89E-2674E4919403}"/>
    <hyperlink ref="H5" r:id="rId26" display="https://www.nba.com/stats/events/?flag=3&amp;CFID=&amp;CFPARAMS=&amp;PlayerID=203507&amp;TeamID=0&amp;GameID=&amp;ContextMeasure=FGM&amp;Season=2021-22&amp;SeasonType=Regular%20Season&amp;LeagueID=00&amp;PerMode=PerGame&amp;Scope=S&amp;StatCategory=PTS&amp;section=leaders" xr:uid="{ADB7D936-F9A9-C049-88F4-19746E05A418}"/>
    <hyperlink ref="I5" r:id="rId27" display="https://www.nba.com/stats/events/?flag=3&amp;CFID=&amp;CFPARAMS=&amp;PlayerID=203507&amp;TeamID=0&amp;GameID=&amp;ContextMeasure=FGA&amp;Season=2021-22&amp;SeasonType=Regular%20Season&amp;LeagueID=00&amp;PerMode=PerGame&amp;Scope=S&amp;StatCategory=PTS&amp;section=leaders" xr:uid="{AFAF98E8-67C2-6845-BBCA-71B37279F08F}"/>
    <hyperlink ref="K5" r:id="rId28" display="https://www.nba.com/stats/events/?flag=3&amp;CFID=&amp;CFPARAMS=&amp;PlayerID=203507&amp;TeamID=0&amp;GameID=&amp;ContextMeasure=FG3M&amp;Season=2021-22&amp;SeasonType=Regular%20Season&amp;LeagueID=00&amp;PerMode=PerGame&amp;Scope=S&amp;StatCategory=PTS&amp;section=leaders" xr:uid="{B9B92419-D5E6-BE4C-B1F5-706E2A86A7D0}"/>
    <hyperlink ref="L5" r:id="rId29" display="https://www.nba.com/stats/events/?flag=3&amp;CFID=&amp;CFPARAMS=&amp;PlayerID=203507&amp;TeamID=0&amp;GameID=&amp;ContextMeasure=FG3A&amp;Season=2021-22&amp;SeasonType=Regular%20Season&amp;LeagueID=00&amp;PerMode=PerGame&amp;Scope=S&amp;StatCategory=PTS&amp;section=leaders" xr:uid="{350110AF-4623-D84B-8E35-AC6461D24C14}"/>
    <hyperlink ref="R5" r:id="rId30" display="https://www.nba.com/stats/events/?flag=1&amp;CFID=&amp;CFPARAMS=&amp;PlayerID=203507&amp;TeamID=0&amp;GameID=&amp;ContextMeasure=OREB&amp;Season=2021-22&amp;SeasonType=Regular%20Season&amp;LeagueID=00&amp;PerMode=PerGame&amp;Scope=S&amp;StatCategory=PTS&amp;section=leaders" xr:uid="{1A9F9717-3163-9446-82A2-732066F34B0E}"/>
    <hyperlink ref="S5" r:id="rId31" display="https://www.nba.com/stats/events/?flag=1&amp;CFID=&amp;CFPARAMS=&amp;PlayerID=203507&amp;TeamID=0&amp;GameID=&amp;ContextMeasure=DREB&amp;Season=2021-22&amp;SeasonType=Regular%20Season&amp;LeagueID=00&amp;PerMode=PerGame&amp;Scope=S&amp;StatCategory=PTS&amp;section=leaders" xr:uid="{0F063C4D-1EBF-5C49-9424-4AADC9D62FD2}"/>
    <hyperlink ref="T5" r:id="rId32" display="https://www.nba.com/stats/events/?flag=1&amp;CFID=&amp;CFPARAMS=&amp;PlayerID=203507&amp;TeamID=0&amp;GameID=&amp;ContextMeasure=REB&amp;Season=2021-22&amp;SeasonType=Regular%20Season&amp;LeagueID=00&amp;PerMode=PerGame&amp;Scope=S&amp;StatCategory=PTS&amp;section=leaders" xr:uid="{F35D7F29-A98A-CE48-884E-D24FCF47E877}"/>
    <hyperlink ref="U5" r:id="rId33" display="https://www.nba.com/stats/events/?flag=1&amp;CFID=&amp;CFPARAMS=&amp;PlayerID=203507&amp;TeamID=0&amp;GameID=&amp;ContextMeasure=AST&amp;Season=2021-22&amp;SeasonType=Regular%20Season&amp;LeagueID=00&amp;PerMode=PerGame&amp;Scope=S&amp;StatCategory=PTS&amp;section=leaders" xr:uid="{1511DD14-7883-3F46-A949-F0ED0DE2796F}"/>
    <hyperlink ref="V5" r:id="rId34" display="https://www.nba.com/stats/events/?flag=1&amp;CFID=&amp;CFPARAMS=&amp;PlayerID=203507&amp;TeamID=0&amp;GameID=&amp;ContextMeasure=STL&amp;Season=2021-22&amp;SeasonType=Regular%20Season&amp;LeagueID=00&amp;PerMode=PerGame&amp;Scope=S&amp;StatCategory=PTS&amp;section=leaders" xr:uid="{FD257DD4-1B2D-814C-B3AE-B2BA15A9F287}"/>
    <hyperlink ref="W5" r:id="rId35" display="https://www.nba.com/stats/events/?flag=1&amp;CFID=&amp;CFPARAMS=&amp;PlayerID=203507&amp;TeamID=0&amp;GameID=&amp;ContextMeasure=BLK&amp;Season=2021-22&amp;SeasonType=Regular%20Season&amp;LeagueID=00&amp;PerMode=PerGame&amp;Scope=S&amp;StatCategory=PTS&amp;section=leaders" xr:uid="{5F9100C0-B58E-9F40-A526-6016C8F63DE8}"/>
    <hyperlink ref="X5" r:id="rId36" display="https://www.nba.com/stats/events/?flag=1&amp;CFID=&amp;CFPARAMS=&amp;PlayerID=203507&amp;TeamID=0&amp;GameID=&amp;ContextMeasure=TOV&amp;Season=2021-22&amp;SeasonType=Regular%20Season&amp;LeagueID=00&amp;PerMode=PerGame&amp;Scope=S&amp;StatCategory=PTS&amp;section=leaders" xr:uid="{FA29F587-99CC-CF43-A914-BE7D14D7D2AD}"/>
    <hyperlink ref="D6" r:id="rId37" display="https://www.nba.com/player/1629027/traditional/" xr:uid="{BF694A8A-D02A-9F42-BC42-084BB6C09795}"/>
    <hyperlink ref="H6" r:id="rId38" display="https://www.nba.com/stats/events/?flag=3&amp;CFID=&amp;CFPARAMS=&amp;PlayerID=1629027&amp;TeamID=0&amp;GameID=&amp;ContextMeasure=FGM&amp;Season=2021-22&amp;SeasonType=Regular%20Season&amp;LeagueID=00&amp;PerMode=PerGame&amp;Scope=S&amp;StatCategory=PTS&amp;section=leaders" xr:uid="{F65471AC-532F-4145-8244-6914D88E4D0C}"/>
    <hyperlink ref="I6" r:id="rId39" display="https://www.nba.com/stats/events/?flag=3&amp;CFID=&amp;CFPARAMS=&amp;PlayerID=1629027&amp;TeamID=0&amp;GameID=&amp;ContextMeasure=FGA&amp;Season=2021-22&amp;SeasonType=Regular%20Season&amp;LeagueID=00&amp;PerMode=PerGame&amp;Scope=S&amp;StatCategory=PTS&amp;section=leaders" xr:uid="{C763FFB2-0FDD-E74B-A216-03D1038BE6F3}"/>
    <hyperlink ref="K6" r:id="rId40" display="https://www.nba.com/stats/events/?flag=3&amp;CFID=&amp;CFPARAMS=&amp;PlayerID=1629027&amp;TeamID=0&amp;GameID=&amp;ContextMeasure=FG3M&amp;Season=2021-22&amp;SeasonType=Regular%20Season&amp;LeagueID=00&amp;PerMode=PerGame&amp;Scope=S&amp;StatCategory=PTS&amp;section=leaders" xr:uid="{0D122A59-AA35-964E-8036-DF2C00D300A3}"/>
    <hyperlink ref="L6" r:id="rId41" display="https://www.nba.com/stats/events/?flag=3&amp;CFID=&amp;CFPARAMS=&amp;PlayerID=1629027&amp;TeamID=0&amp;GameID=&amp;ContextMeasure=FG3A&amp;Season=2021-22&amp;SeasonType=Regular%20Season&amp;LeagueID=00&amp;PerMode=PerGame&amp;Scope=S&amp;StatCategory=PTS&amp;section=leaders" xr:uid="{A4DA95D4-A3B3-9C46-ADD7-DE71EFC3BD10}"/>
    <hyperlink ref="R6" r:id="rId42" display="https://www.nba.com/stats/events/?flag=1&amp;CFID=&amp;CFPARAMS=&amp;PlayerID=1629027&amp;TeamID=0&amp;GameID=&amp;ContextMeasure=OREB&amp;Season=2021-22&amp;SeasonType=Regular%20Season&amp;LeagueID=00&amp;PerMode=PerGame&amp;Scope=S&amp;StatCategory=PTS&amp;section=leaders" xr:uid="{52ABCCF3-6B9C-CA44-BDE1-AB3361A2873F}"/>
    <hyperlink ref="S6" r:id="rId43" display="https://www.nba.com/stats/events/?flag=1&amp;CFID=&amp;CFPARAMS=&amp;PlayerID=1629027&amp;TeamID=0&amp;GameID=&amp;ContextMeasure=DREB&amp;Season=2021-22&amp;SeasonType=Regular%20Season&amp;LeagueID=00&amp;PerMode=PerGame&amp;Scope=S&amp;StatCategory=PTS&amp;section=leaders" xr:uid="{2925B4C1-CC07-B345-A268-D026D70C17C7}"/>
    <hyperlink ref="T6" r:id="rId44" display="https://www.nba.com/stats/events/?flag=1&amp;CFID=&amp;CFPARAMS=&amp;PlayerID=1629027&amp;TeamID=0&amp;GameID=&amp;ContextMeasure=REB&amp;Season=2021-22&amp;SeasonType=Regular%20Season&amp;LeagueID=00&amp;PerMode=PerGame&amp;Scope=S&amp;StatCategory=PTS&amp;section=leaders" xr:uid="{DF190110-BE78-6A48-898F-4E08B1446CCD}"/>
    <hyperlink ref="U6" r:id="rId45" display="https://www.nba.com/stats/events/?flag=1&amp;CFID=&amp;CFPARAMS=&amp;PlayerID=1629027&amp;TeamID=0&amp;GameID=&amp;ContextMeasure=AST&amp;Season=2021-22&amp;SeasonType=Regular%20Season&amp;LeagueID=00&amp;PerMode=PerGame&amp;Scope=S&amp;StatCategory=PTS&amp;section=leaders" xr:uid="{4B3B87C2-7E3F-DC48-BC0F-E51C77D80128}"/>
    <hyperlink ref="V6" r:id="rId46" display="https://www.nba.com/stats/events/?flag=1&amp;CFID=&amp;CFPARAMS=&amp;PlayerID=1629027&amp;TeamID=0&amp;GameID=&amp;ContextMeasure=STL&amp;Season=2021-22&amp;SeasonType=Regular%20Season&amp;LeagueID=00&amp;PerMode=PerGame&amp;Scope=S&amp;StatCategory=PTS&amp;section=leaders" xr:uid="{2735745A-113D-1046-B250-50E4F570FE5E}"/>
    <hyperlink ref="W6" r:id="rId47" display="https://www.nba.com/stats/events/?flag=1&amp;CFID=&amp;CFPARAMS=&amp;PlayerID=1629027&amp;TeamID=0&amp;GameID=&amp;ContextMeasure=BLK&amp;Season=2021-22&amp;SeasonType=Regular%20Season&amp;LeagueID=00&amp;PerMode=PerGame&amp;Scope=S&amp;StatCategory=PTS&amp;section=leaders" xr:uid="{AD3D5E1B-33E5-B248-9FF2-EE94275838EC}"/>
    <hyperlink ref="X6" r:id="rId48" display="https://www.nba.com/stats/events/?flag=1&amp;CFID=&amp;CFPARAMS=&amp;PlayerID=1629027&amp;TeamID=0&amp;GameID=&amp;ContextMeasure=TOV&amp;Season=2021-22&amp;SeasonType=Regular%20Season&amp;LeagueID=00&amp;PerMode=PerGame&amp;Scope=S&amp;StatCategory=PTS&amp;section=leaders" xr:uid="{B7E6D9DC-DBE2-684B-998E-93CF33499328}"/>
    <hyperlink ref="D7" r:id="rId49" display="https://www.nba.com/player/201942/traditional/" xr:uid="{5B6F61A4-F52F-4344-87AB-4FDA1EA72BA9}"/>
    <hyperlink ref="H7" r:id="rId50" display="https://www.nba.com/stats/events/?flag=3&amp;CFID=&amp;CFPARAMS=&amp;PlayerID=201942&amp;TeamID=0&amp;GameID=&amp;ContextMeasure=FGM&amp;Season=2021-22&amp;SeasonType=Regular%20Season&amp;LeagueID=00&amp;PerMode=PerGame&amp;Scope=S&amp;StatCategory=PTS&amp;section=leaders" xr:uid="{B13103DF-CF9D-B442-A872-B7FA25190AED}"/>
    <hyperlink ref="I7" r:id="rId51" display="https://www.nba.com/stats/events/?flag=3&amp;CFID=&amp;CFPARAMS=&amp;PlayerID=201942&amp;TeamID=0&amp;GameID=&amp;ContextMeasure=FGA&amp;Season=2021-22&amp;SeasonType=Regular%20Season&amp;LeagueID=00&amp;PerMode=PerGame&amp;Scope=S&amp;StatCategory=PTS&amp;section=leaders" xr:uid="{C494A06F-21DF-E245-81A3-00FA362F7262}"/>
    <hyperlink ref="K7" r:id="rId52" display="https://www.nba.com/stats/events/?flag=3&amp;CFID=&amp;CFPARAMS=&amp;PlayerID=201942&amp;TeamID=0&amp;GameID=&amp;ContextMeasure=FG3M&amp;Season=2021-22&amp;SeasonType=Regular%20Season&amp;LeagueID=00&amp;PerMode=PerGame&amp;Scope=S&amp;StatCategory=PTS&amp;section=leaders" xr:uid="{E2A53AC7-0679-7A44-BEA5-8CFC521B6246}"/>
    <hyperlink ref="L7" r:id="rId53" display="https://www.nba.com/stats/events/?flag=3&amp;CFID=&amp;CFPARAMS=&amp;PlayerID=201942&amp;TeamID=0&amp;GameID=&amp;ContextMeasure=FG3A&amp;Season=2021-22&amp;SeasonType=Regular%20Season&amp;LeagueID=00&amp;PerMode=PerGame&amp;Scope=S&amp;StatCategory=PTS&amp;section=leaders" xr:uid="{60E2BAB0-86BA-3D45-AC9F-B22E336B7024}"/>
    <hyperlink ref="R7" r:id="rId54" display="https://www.nba.com/stats/events/?flag=1&amp;CFID=&amp;CFPARAMS=&amp;PlayerID=201942&amp;TeamID=0&amp;GameID=&amp;ContextMeasure=OREB&amp;Season=2021-22&amp;SeasonType=Regular%20Season&amp;LeagueID=00&amp;PerMode=PerGame&amp;Scope=S&amp;StatCategory=PTS&amp;section=leaders" xr:uid="{ED6B5448-63EE-1E41-852A-C235C9BE21BB}"/>
    <hyperlink ref="S7" r:id="rId55" display="https://www.nba.com/stats/events/?flag=1&amp;CFID=&amp;CFPARAMS=&amp;PlayerID=201942&amp;TeamID=0&amp;GameID=&amp;ContextMeasure=DREB&amp;Season=2021-22&amp;SeasonType=Regular%20Season&amp;LeagueID=00&amp;PerMode=PerGame&amp;Scope=S&amp;StatCategory=PTS&amp;section=leaders" xr:uid="{BE986CC5-330B-A445-BC6D-747CDBFFA639}"/>
    <hyperlink ref="T7" r:id="rId56" display="https://www.nba.com/stats/events/?flag=1&amp;CFID=&amp;CFPARAMS=&amp;PlayerID=201942&amp;TeamID=0&amp;GameID=&amp;ContextMeasure=REB&amp;Season=2021-22&amp;SeasonType=Regular%20Season&amp;LeagueID=00&amp;PerMode=PerGame&amp;Scope=S&amp;StatCategory=PTS&amp;section=leaders" xr:uid="{4D53AAB5-E60A-B346-A5C4-1DA3A10D2E6A}"/>
    <hyperlink ref="U7" r:id="rId57" display="https://www.nba.com/stats/events/?flag=1&amp;CFID=&amp;CFPARAMS=&amp;PlayerID=201942&amp;TeamID=0&amp;GameID=&amp;ContextMeasure=AST&amp;Season=2021-22&amp;SeasonType=Regular%20Season&amp;LeagueID=00&amp;PerMode=PerGame&amp;Scope=S&amp;StatCategory=PTS&amp;section=leaders" xr:uid="{0AC27710-0783-2043-B6E8-A8198CADA56A}"/>
    <hyperlink ref="V7" r:id="rId58" display="https://www.nba.com/stats/events/?flag=1&amp;CFID=&amp;CFPARAMS=&amp;PlayerID=201942&amp;TeamID=0&amp;GameID=&amp;ContextMeasure=STL&amp;Season=2021-22&amp;SeasonType=Regular%20Season&amp;LeagueID=00&amp;PerMode=PerGame&amp;Scope=S&amp;StatCategory=PTS&amp;section=leaders" xr:uid="{973ED6E2-ED8D-5948-9063-07D4E5B25050}"/>
    <hyperlink ref="W7" r:id="rId59" display="https://www.nba.com/stats/events/?flag=1&amp;CFID=&amp;CFPARAMS=&amp;PlayerID=201942&amp;TeamID=0&amp;GameID=&amp;ContextMeasure=BLK&amp;Season=2021-22&amp;SeasonType=Regular%20Season&amp;LeagueID=00&amp;PerMode=PerGame&amp;Scope=S&amp;StatCategory=PTS&amp;section=leaders" xr:uid="{845FE7D3-4CAB-6A45-962F-C3D7F67BAFB1}"/>
    <hyperlink ref="X7" r:id="rId60" display="https://www.nba.com/stats/events/?flag=1&amp;CFID=&amp;CFPARAMS=&amp;PlayerID=201942&amp;TeamID=0&amp;GameID=&amp;ContextMeasure=TOV&amp;Season=2021-22&amp;SeasonType=Regular%20Season&amp;LeagueID=00&amp;PerMode=PerGame&amp;Scope=S&amp;StatCategory=PTS&amp;section=leaders" xr:uid="{CFEF62EE-2861-A545-8AEE-9D09B15DB0BA}"/>
    <hyperlink ref="D8" r:id="rId61" display="https://www.nba.com/player/202331/traditional/" xr:uid="{03473516-AAA3-C74A-AB9E-440D46422449}"/>
    <hyperlink ref="H8" r:id="rId62" display="https://www.nba.com/stats/events/?flag=3&amp;CFID=&amp;CFPARAMS=&amp;PlayerID=202331&amp;TeamID=0&amp;GameID=&amp;ContextMeasure=FGM&amp;Season=2021-22&amp;SeasonType=Regular%20Season&amp;LeagueID=00&amp;PerMode=PerGame&amp;Scope=S&amp;StatCategory=PTS&amp;section=leaders" xr:uid="{ED8FF0B4-2D07-4047-9013-FD021B913660}"/>
    <hyperlink ref="I8" r:id="rId63" display="https://www.nba.com/stats/events/?flag=3&amp;CFID=&amp;CFPARAMS=&amp;PlayerID=202331&amp;TeamID=0&amp;GameID=&amp;ContextMeasure=FGA&amp;Season=2021-22&amp;SeasonType=Regular%20Season&amp;LeagueID=00&amp;PerMode=PerGame&amp;Scope=S&amp;StatCategory=PTS&amp;section=leaders" xr:uid="{3B6A1B5B-CEC4-EA46-93C5-980DBE4F0705}"/>
    <hyperlink ref="K8" r:id="rId64" display="https://www.nba.com/stats/events/?flag=3&amp;CFID=&amp;CFPARAMS=&amp;PlayerID=202331&amp;TeamID=0&amp;GameID=&amp;ContextMeasure=FG3M&amp;Season=2021-22&amp;SeasonType=Regular%20Season&amp;LeagueID=00&amp;PerMode=PerGame&amp;Scope=S&amp;StatCategory=PTS&amp;section=leaders" xr:uid="{A85E04F7-7924-D345-B6DA-7A64A0290552}"/>
    <hyperlink ref="L8" r:id="rId65" display="https://www.nba.com/stats/events/?flag=3&amp;CFID=&amp;CFPARAMS=&amp;PlayerID=202331&amp;TeamID=0&amp;GameID=&amp;ContextMeasure=FG3A&amp;Season=2021-22&amp;SeasonType=Regular%20Season&amp;LeagueID=00&amp;PerMode=PerGame&amp;Scope=S&amp;StatCategory=PTS&amp;section=leaders" xr:uid="{0AD0FA57-B2D8-E64A-873D-D4C806931EFC}"/>
    <hyperlink ref="R8" r:id="rId66" display="https://www.nba.com/stats/events/?flag=1&amp;CFID=&amp;CFPARAMS=&amp;PlayerID=202331&amp;TeamID=0&amp;GameID=&amp;ContextMeasure=OREB&amp;Season=2021-22&amp;SeasonType=Regular%20Season&amp;LeagueID=00&amp;PerMode=PerGame&amp;Scope=S&amp;StatCategory=PTS&amp;section=leaders" xr:uid="{AD34A8F6-D301-5D47-A59A-D4517C0EB366}"/>
    <hyperlink ref="S8" r:id="rId67" display="https://www.nba.com/stats/events/?flag=1&amp;CFID=&amp;CFPARAMS=&amp;PlayerID=202331&amp;TeamID=0&amp;GameID=&amp;ContextMeasure=DREB&amp;Season=2021-22&amp;SeasonType=Regular%20Season&amp;LeagueID=00&amp;PerMode=PerGame&amp;Scope=S&amp;StatCategory=PTS&amp;section=leaders" xr:uid="{37635DC0-2385-234E-B37A-E0062911B50F}"/>
    <hyperlink ref="T8" r:id="rId68" display="https://www.nba.com/stats/events/?flag=1&amp;CFID=&amp;CFPARAMS=&amp;PlayerID=202331&amp;TeamID=0&amp;GameID=&amp;ContextMeasure=REB&amp;Season=2021-22&amp;SeasonType=Regular%20Season&amp;LeagueID=00&amp;PerMode=PerGame&amp;Scope=S&amp;StatCategory=PTS&amp;section=leaders" xr:uid="{6974D8A0-6472-DE4C-971B-0BCAE97B5ADE}"/>
    <hyperlink ref="U8" r:id="rId69" display="https://www.nba.com/stats/events/?flag=1&amp;CFID=&amp;CFPARAMS=&amp;PlayerID=202331&amp;TeamID=0&amp;GameID=&amp;ContextMeasure=AST&amp;Season=2021-22&amp;SeasonType=Regular%20Season&amp;LeagueID=00&amp;PerMode=PerGame&amp;Scope=S&amp;StatCategory=PTS&amp;section=leaders" xr:uid="{05796BF4-83E9-C94C-8F5A-8054959D556B}"/>
    <hyperlink ref="V8" r:id="rId70" display="https://www.nba.com/stats/events/?flag=1&amp;CFID=&amp;CFPARAMS=&amp;PlayerID=202331&amp;TeamID=0&amp;GameID=&amp;ContextMeasure=STL&amp;Season=2021-22&amp;SeasonType=Regular%20Season&amp;LeagueID=00&amp;PerMode=PerGame&amp;Scope=S&amp;StatCategory=PTS&amp;section=leaders" xr:uid="{7488F8FD-FCE5-5D4B-A5F2-1E92632600A7}"/>
    <hyperlink ref="W8" r:id="rId71" display="https://www.nba.com/stats/events/?flag=1&amp;CFID=&amp;CFPARAMS=&amp;PlayerID=202331&amp;TeamID=0&amp;GameID=&amp;ContextMeasure=BLK&amp;Season=2021-22&amp;SeasonType=Regular%20Season&amp;LeagueID=00&amp;PerMode=PerGame&amp;Scope=S&amp;StatCategory=PTS&amp;section=leaders" xr:uid="{D7FCC22E-482A-844A-A1A9-A5BEFF2FAE9D}"/>
    <hyperlink ref="X8" r:id="rId72" display="https://www.nba.com/stats/events/?flag=1&amp;CFID=&amp;CFPARAMS=&amp;PlayerID=202331&amp;TeamID=0&amp;GameID=&amp;ContextMeasure=TOV&amp;Season=2021-22&amp;SeasonType=Regular%20Season&amp;LeagueID=00&amp;PerMode=PerGame&amp;Scope=S&amp;StatCategory=PTS&amp;section=leaders" xr:uid="{C7A13F02-5B79-A44D-A98E-A5C15B64E4D2}"/>
    <hyperlink ref="D9" r:id="rId73" display="https://www.nba.com/player/203999/traditional/" xr:uid="{539C8C93-01AC-9945-853E-D8C35D021F2F}"/>
    <hyperlink ref="H9" r:id="rId74" display="https://www.nba.com/stats/events/?flag=3&amp;CFID=&amp;CFPARAMS=&amp;PlayerID=203999&amp;TeamID=0&amp;GameID=&amp;ContextMeasure=FGM&amp;Season=2021-22&amp;SeasonType=Regular%20Season&amp;LeagueID=00&amp;PerMode=PerGame&amp;Scope=S&amp;StatCategory=PTS&amp;section=leaders" xr:uid="{DA8EC5B6-81C9-F143-9DDD-6A067200CBF8}"/>
    <hyperlink ref="I9" r:id="rId75" display="https://www.nba.com/stats/events/?flag=3&amp;CFID=&amp;CFPARAMS=&amp;PlayerID=203999&amp;TeamID=0&amp;GameID=&amp;ContextMeasure=FGA&amp;Season=2021-22&amp;SeasonType=Regular%20Season&amp;LeagueID=00&amp;PerMode=PerGame&amp;Scope=S&amp;StatCategory=PTS&amp;section=leaders" xr:uid="{E3E83A7D-9BF3-144D-A3DC-C8B99A86732D}"/>
    <hyperlink ref="K9" r:id="rId76" display="https://www.nba.com/stats/events/?flag=3&amp;CFID=&amp;CFPARAMS=&amp;PlayerID=203999&amp;TeamID=0&amp;GameID=&amp;ContextMeasure=FG3M&amp;Season=2021-22&amp;SeasonType=Regular%20Season&amp;LeagueID=00&amp;PerMode=PerGame&amp;Scope=S&amp;StatCategory=PTS&amp;section=leaders" xr:uid="{EA2B0511-35D9-6648-8190-CB171C06B2FC}"/>
    <hyperlink ref="L9" r:id="rId77" display="https://www.nba.com/stats/events/?flag=3&amp;CFID=&amp;CFPARAMS=&amp;PlayerID=203999&amp;TeamID=0&amp;GameID=&amp;ContextMeasure=FG3A&amp;Season=2021-22&amp;SeasonType=Regular%20Season&amp;LeagueID=00&amp;PerMode=PerGame&amp;Scope=S&amp;StatCategory=PTS&amp;section=leaders" xr:uid="{3341C715-DF5E-C149-9307-04916673A7F1}"/>
    <hyperlink ref="R9" r:id="rId78" display="https://www.nba.com/stats/events/?flag=1&amp;CFID=&amp;CFPARAMS=&amp;PlayerID=203999&amp;TeamID=0&amp;GameID=&amp;ContextMeasure=OREB&amp;Season=2021-22&amp;SeasonType=Regular%20Season&amp;LeagueID=00&amp;PerMode=PerGame&amp;Scope=S&amp;StatCategory=PTS&amp;section=leaders" xr:uid="{B3397C90-4DA1-104A-A0A0-97C19992DD23}"/>
    <hyperlink ref="S9" r:id="rId79" display="https://www.nba.com/stats/events/?flag=1&amp;CFID=&amp;CFPARAMS=&amp;PlayerID=203999&amp;TeamID=0&amp;GameID=&amp;ContextMeasure=DREB&amp;Season=2021-22&amp;SeasonType=Regular%20Season&amp;LeagueID=00&amp;PerMode=PerGame&amp;Scope=S&amp;StatCategory=PTS&amp;section=leaders" xr:uid="{D7E961D5-6271-6A4D-AB4B-1DA463074B7E}"/>
    <hyperlink ref="T9" r:id="rId80" display="https://www.nba.com/stats/events/?flag=1&amp;CFID=&amp;CFPARAMS=&amp;PlayerID=203999&amp;TeamID=0&amp;GameID=&amp;ContextMeasure=REB&amp;Season=2021-22&amp;SeasonType=Regular%20Season&amp;LeagueID=00&amp;PerMode=PerGame&amp;Scope=S&amp;StatCategory=PTS&amp;section=leaders" xr:uid="{C3D6A6EE-F9E4-B84D-8D9C-FDC91725EAC2}"/>
    <hyperlink ref="U9" r:id="rId81" display="https://www.nba.com/stats/events/?flag=1&amp;CFID=&amp;CFPARAMS=&amp;PlayerID=203999&amp;TeamID=0&amp;GameID=&amp;ContextMeasure=AST&amp;Season=2021-22&amp;SeasonType=Regular%20Season&amp;LeagueID=00&amp;PerMode=PerGame&amp;Scope=S&amp;StatCategory=PTS&amp;section=leaders" xr:uid="{06FA32DB-C3F1-1249-AF6D-E9F70E25D128}"/>
    <hyperlink ref="V9" r:id="rId82" display="https://www.nba.com/stats/events/?flag=1&amp;CFID=&amp;CFPARAMS=&amp;PlayerID=203999&amp;TeamID=0&amp;GameID=&amp;ContextMeasure=STL&amp;Season=2021-22&amp;SeasonType=Regular%20Season&amp;LeagueID=00&amp;PerMode=PerGame&amp;Scope=S&amp;StatCategory=PTS&amp;section=leaders" xr:uid="{BBA8203F-2FEC-1C47-A615-0D61F7C93AFF}"/>
    <hyperlink ref="W9" r:id="rId83" display="https://www.nba.com/stats/events/?flag=1&amp;CFID=&amp;CFPARAMS=&amp;PlayerID=203999&amp;TeamID=0&amp;GameID=&amp;ContextMeasure=BLK&amp;Season=2021-22&amp;SeasonType=Regular%20Season&amp;LeagueID=00&amp;PerMode=PerGame&amp;Scope=S&amp;StatCategory=PTS&amp;section=leaders" xr:uid="{38A36F94-C69E-A84C-B14A-1BC8BE9D8901}"/>
    <hyperlink ref="X9" r:id="rId84" display="https://www.nba.com/stats/events/?flag=1&amp;CFID=&amp;CFPARAMS=&amp;PlayerID=203999&amp;TeamID=0&amp;GameID=&amp;ContextMeasure=TOV&amp;Season=2021-22&amp;SeasonType=Regular%20Season&amp;LeagueID=00&amp;PerMode=PerGame&amp;Scope=S&amp;StatCategory=PTS&amp;section=leaders" xr:uid="{11285D9F-5AB9-3C44-9600-6A5F3FD81188}"/>
    <hyperlink ref="D10" r:id="rId85" display="https://www.nba.com/player/1629029/traditional/" xr:uid="{E97B2665-CBF6-4847-A90D-BB6AA41109D3}"/>
    <hyperlink ref="H10" r:id="rId86" display="https://www.nba.com/stats/events/?flag=3&amp;CFID=&amp;CFPARAMS=&amp;PlayerID=1629029&amp;TeamID=0&amp;GameID=&amp;ContextMeasure=FGM&amp;Season=2021-22&amp;SeasonType=Regular%20Season&amp;LeagueID=00&amp;PerMode=PerGame&amp;Scope=S&amp;StatCategory=PTS&amp;section=leaders" xr:uid="{CD662922-58F8-294D-9CA7-59665E6BCA4C}"/>
    <hyperlink ref="I10" r:id="rId87" display="https://www.nba.com/stats/events/?flag=3&amp;CFID=&amp;CFPARAMS=&amp;PlayerID=1629029&amp;TeamID=0&amp;GameID=&amp;ContextMeasure=FGA&amp;Season=2021-22&amp;SeasonType=Regular%20Season&amp;LeagueID=00&amp;PerMode=PerGame&amp;Scope=S&amp;StatCategory=PTS&amp;section=leaders" xr:uid="{0BE8F711-8226-0F4A-B7BB-2DA0E66727E7}"/>
    <hyperlink ref="K10" r:id="rId88" display="https://www.nba.com/stats/events/?flag=3&amp;CFID=&amp;CFPARAMS=&amp;PlayerID=1629029&amp;TeamID=0&amp;GameID=&amp;ContextMeasure=FG3M&amp;Season=2021-22&amp;SeasonType=Regular%20Season&amp;LeagueID=00&amp;PerMode=PerGame&amp;Scope=S&amp;StatCategory=PTS&amp;section=leaders" xr:uid="{3328C95A-DBA8-A549-A87F-52C296075F32}"/>
    <hyperlink ref="L10" r:id="rId89" display="https://www.nba.com/stats/events/?flag=3&amp;CFID=&amp;CFPARAMS=&amp;PlayerID=1629029&amp;TeamID=0&amp;GameID=&amp;ContextMeasure=FG3A&amp;Season=2021-22&amp;SeasonType=Regular%20Season&amp;LeagueID=00&amp;PerMode=PerGame&amp;Scope=S&amp;StatCategory=PTS&amp;section=leaders" xr:uid="{6C1BAD51-D8C6-D243-95A9-F6AEF1443F9C}"/>
    <hyperlink ref="R10" r:id="rId90" display="https://www.nba.com/stats/events/?flag=1&amp;CFID=&amp;CFPARAMS=&amp;PlayerID=1629029&amp;TeamID=0&amp;GameID=&amp;ContextMeasure=OREB&amp;Season=2021-22&amp;SeasonType=Regular%20Season&amp;LeagueID=00&amp;PerMode=PerGame&amp;Scope=S&amp;StatCategory=PTS&amp;section=leaders" xr:uid="{C30D4E3F-A303-8E48-9997-80620D2DBA85}"/>
    <hyperlink ref="S10" r:id="rId91" display="https://www.nba.com/stats/events/?flag=1&amp;CFID=&amp;CFPARAMS=&amp;PlayerID=1629029&amp;TeamID=0&amp;GameID=&amp;ContextMeasure=DREB&amp;Season=2021-22&amp;SeasonType=Regular%20Season&amp;LeagueID=00&amp;PerMode=PerGame&amp;Scope=S&amp;StatCategory=PTS&amp;section=leaders" xr:uid="{6FAF468B-3287-AF44-A1BF-75547133543B}"/>
    <hyperlink ref="T10" r:id="rId92" display="https://www.nba.com/stats/events/?flag=1&amp;CFID=&amp;CFPARAMS=&amp;PlayerID=1629029&amp;TeamID=0&amp;GameID=&amp;ContextMeasure=REB&amp;Season=2021-22&amp;SeasonType=Regular%20Season&amp;LeagueID=00&amp;PerMode=PerGame&amp;Scope=S&amp;StatCategory=PTS&amp;section=leaders" xr:uid="{8EFC54B1-2F6F-E741-970B-CA58E94C573E}"/>
    <hyperlink ref="U10" r:id="rId93" display="https://www.nba.com/stats/events/?flag=1&amp;CFID=&amp;CFPARAMS=&amp;PlayerID=1629029&amp;TeamID=0&amp;GameID=&amp;ContextMeasure=AST&amp;Season=2021-22&amp;SeasonType=Regular%20Season&amp;LeagueID=00&amp;PerMode=PerGame&amp;Scope=S&amp;StatCategory=PTS&amp;section=leaders" xr:uid="{475E0268-1A79-1249-BB91-6B3EE4D66A88}"/>
    <hyperlink ref="V10" r:id="rId94" display="https://www.nba.com/stats/events/?flag=1&amp;CFID=&amp;CFPARAMS=&amp;PlayerID=1629029&amp;TeamID=0&amp;GameID=&amp;ContextMeasure=STL&amp;Season=2021-22&amp;SeasonType=Regular%20Season&amp;LeagueID=00&amp;PerMode=PerGame&amp;Scope=S&amp;StatCategory=PTS&amp;section=leaders" xr:uid="{4D1C41A7-1633-9741-9B89-4755BE54E0EF}"/>
    <hyperlink ref="W10" r:id="rId95" display="https://www.nba.com/stats/events/?flag=1&amp;CFID=&amp;CFPARAMS=&amp;PlayerID=1629029&amp;TeamID=0&amp;GameID=&amp;ContextMeasure=BLK&amp;Season=2021-22&amp;SeasonType=Regular%20Season&amp;LeagueID=00&amp;PerMode=PerGame&amp;Scope=S&amp;StatCategory=PTS&amp;section=leaders" xr:uid="{7DE1DB04-BF7B-3F4D-968A-ADAEC1B85937}"/>
    <hyperlink ref="X10" r:id="rId96" display="https://www.nba.com/stats/events/?flag=1&amp;CFID=&amp;CFPARAMS=&amp;PlayerID=1629029&amp;TeamID=0&amp;GameID=&amp;ContextMeasure=TOV&amp;Season=2021-22&amp;SeasonType=Regular%20Season&amp;LeagueID=00&amp;PerMode=PerGame&amp;Scope=S&amp;StatCategory=PTS&amp;section=leaders" xr:uid="{00FE4470-F584-584C-BACB-81053F9F7526}"/>
    <hyperlink ref="D11" r:id="rId97" display="https://www.nba.com/player/1628369/traditional/" xr:uid="{73836C31-0997-D44A-8CEA-7790551D3F4B}"/>
    <hyperlink ref="H11" r:id="rId98" display="https://www.nba.com/stats/events/?flag=3&amp;CFID=&amp;CFPARAMS=&amp;PlayerID=1628369&amp;TeamID=0&amp;GameID=&amp;ContextMeasure=FGM&amp;Season=2021-22&amp;SeasonType=Regular%20Season&amp;LeagueID=00&amp;PerMode=PerGame&amp;Scope=S&amp;StatCategory=PTS&amp;section=leaders" xr:uid="{00BC2A7E-BB7F-554D-8E45-1AE504580EB7}"/>
    <hyperlink ref="I11" r:id="rId99" display="https://www.nba.com/stats/events/?flag=3&amp;CFID=&amp;CFPARAMS=&amp;PlayerID=1628369&amp;TeamID=0&amp;GameID=&amp;ContextMeasure=FGA&amp;Season=2021-22&amp;SeasonType=Regular%20Season&amp;LeagueID=00&amp;PerMode=PerGame&amp;Scope=S&amp;StatCategory=PTS&amp;section=leaders" xr:uid="{46877062-4906-4A47-8634-DFFD4FD407BD}"/>
    <hyperlink ref="K11" r:id="rId100" display="https://www.nba.com/stats/events/?flag=3&amp;CFID=&amp;CFPARAMS=&amp;PlayerID=1628369&amp;TeamID=0&amp;GameID=&amp;ContextMeasure=FG3M&amp;Season=2021-22&amp;SeasonType=Regular%20Season&amp;LeagueID=00&amp;PerMode=PerGame&amp;Scope=S&amp;StatCategory=PTS&amp;section=leaders" xr:uid="{0313B706-DCEC-6F4A-B76C-27B799915CE5}"/>
    <hyperlink ref="L11" r:id="rId101" display="https://www.nba.com/stats/events/?flag=3&amp;CFID=&amp;CFPARAMS=&amp;PlayerID=1628369&amp;TeamID=0&amp;GameID=&amp;ContextMeasure=FG3A&amp;Season=2021-22&amp;SeasonType=Regular%20Season&amp;LeagueID=00&amp;PerMode=PerGame&amp;Scope=S&amp;StatCategory=PTS&amp;section=leaders" xr:uid="{8F30A759-8971-0048-87BD-927F5DDC234A}"/>
    <hyperlink ref="R11" r:id="rId102" display="https://www.nba.com/stats/events/?flag=1&amp;CFID=&amp;CFPARAMS=&amp;PlayerID=1628369&amp;TeamID=0&amp;GameID=&amp;ContextMeasure=OREB&amp;Season=2021-22&amp;SeasonType=Regular%20Season&amp;LeagueID=00&amp;PerMode=PerGame&amp;Scope=S&amp;StatCategory=PTS&amp;section=leaders" xr:uid="{3D274677-CE2C-C345-AD97-3301C6558409}"/>
    <hyperlink ref="S11" r:id="rId103" display="https://www.nba.com/stats/events/?flag=1&amp;CFID=&amp;CFPARAMS=&amp;PlayerID=1628369&amp;TeamID=0&amp;GameID=&amp;ContextMeasure=DREB&amp;Season=2021-22&amp;SeasonType=Regular%20Season&amp;LeagueID=00&amp;PerMode=PerGame&amp;Scope=S&amp;StatCategory=PTS&amp;section=leaders" xr:uid="{0059CD09-845D-DA4E-83F7-E469812D413E}"/>
    <hyperlink ref="T11" r:id="rId104" display="https://www.nba.com/stats/events/?flag=1&amp;CFID=&amp;CFPARAMS=&amp;PlayerID=1628369&amp;TeamID=0&amp;GameID=&amp;ContextMeasure=REB&amp;Season=2021-22&amp;SeasonType=Regular%20Season&amp;LeagueID=00&amp;PerMode=PerGame&amp;Scope=S&amp;StatCategory=PTS&amp;section=leaders" xr:uid="{AE6E38FD-7058-A746-9677-A921B0B8C870}"/>
    <hyperlink ref="U11" r:id="rId105" display="https://www.nba.com/stats/events/?flag=1&amp;CFID=&amp;CFPARAMS=&amp;PlayerID=1628369&amp;TeamID=0&amp;GameID=&amp;ContextMeasure=AST&amp;Season=2021-22&amp;SeasonType=Regular%20Season&amp;LeagueID=00&amp;PerMode=PerGame&amp;Scope=S&amp;StatCategory=PTS&amp;section=leaders" xr:uid="{E0438F7A-713F-A844-A4EF-C34B24ADEF84}"/>
    <hyperlink ref="V11" r:id="rId106" display="https://www.nba.com/stats/events/?flag=1&amp;CFID=&amp;CFPARAMS=&amp;PlayerID=1628369&amp;TeamID=0&amp;GameID=&amp;ContextMeasure=STL&amp;Season=2021-22&amp;SeasonType=Regular%20Season&amp;LeagueID=00&amp;PerMode=PerGame&amp;Scope=S&amp;StatCategory=PTS&amp;section=leaders" xr:uid="{8362C541-D8DE-8E4D-BBAE-DB51598766BA}"/>
    <hyperlink ref="W11" r:id="rId107" display="https://www.nba.com/stats/events/?flag=1&amp;CFID=&amp;CFPARAMS=&amp;PlayerID=1628369&amp;TeamID=0&amp;GameID=&amp;ContextMeasure=BLK&amp;Season=2021-22&amp;SeasonType=Regular%20Season&amp;LeagueID=00&amp;PerMode=PerGame&amp;Scope=S&amp;StatCategory=PTS&amp;section=leaders" xr:uid="{5DA654C7-E7B5-AD49-90D6-A5ABA45CFB57}"/>
    <hyperlink ref="X11" r:id="rId108" display="https://www.nba.com/stats/events/?flag=1&amp;CFID=&amp;CFPARAMS=&amp;PlayerID=1628369&amp;TeamID=0&amp;GameID=&amp;ContextMeasure=TOV&amp;Season=2021-22&amp;SeasonType=Regular%20Season&amp;LeagueID=00&amp;PerMode=PerGame&amp;Scope=S&amp;StatCategory=PTS&amp;section=leaders" xr:uid="{E0103AFB-ECA1-D84A-8635-59E70FDC2578}"/>
    <hyperlink ref="D12" r:id="rId109" display="https://www.nba.com/player/203076/traditional/" xr:uid="{3FC7B0CC-ED39-A045-A12A-677A6B745DCD}"/>
    <hyperlink ref="H12" r:id="rId110" display="https://www.nba.com/stats/events/?flag=3&amp;CFID=&amp;CFPARAMS=&amp;PlayerID=203076&amp;TeamID=0&amp;GameID=&amp;ContextMeasure=FGM&amp;Season=2021-22&amp;SeasonType=Regular%20Season&amp;LeagueID=00&amp;PerMode=PerGame&amp;Scope=S&amp;StatCategory=PTS&amp;section=leaders" xr:uid="{2053B673-50AD-F34F-86DF-06F381FF42DA}"/>
    <hyperlink ref="I12" r:id="rId111" display="https://www.nba.com/stats/events/?flag=3&amp;CFID=&amp;CFPARAMS=&amp;PlayerID=203076&amp;TeamID=0&amp;GameID=&amp;ContextMeasure=FGA&amp;Season=2021-22&amp;SeasonType=Regular%20Season&amp;LeagueID=00&amp;PerMode=PerGame&amp;Scope=S&amp;StatCategory=PTS&amp;section=leaders" xr:uid="{926CDE6D-46E7-CD44-8466-1ADC86BD9EA5}"/>
    <hyperlink ref="K12" r:id="rId112" display="https://www.nba.com/stats/events/?flag=3&amp;CFID=&amp;CFPARAMS=&amp;PlayerID=203076&amp;TeamID=0&amp;GameID=&amp;ContextMeasure=FG3M&amp;Season=2021-22&amp;SeasonType=Regular%20Season&amp;LeagueID=00&amp;PerMode=PerGame&amp;Scope=S&amp;StatCategory=PTS&amp;section=leaders" xr:uid="{50D37CD0-C8D0-3542-91C5-7D3E589F8441}"/>
    <hyperlink ref="L12" r:id="rId113" display="https://www.nba.com/stats/events/?flag=3&amp;CFID=&amp;CFPARAMS=&amp;PlayerID=203076&amp;TeamID=0&amp;GameID=&amp;ContextMeasure=FG3A&amp;Season=2021-22&amp;SeasonType=Regular%20Season&amp;LeagueID=00&amp;PerMode=PerGame&amp;Scope=S&amp;StatCategory=PTS&amp;section=leaders" xr:uid="{07604392-572E-F54A-B3FF-8C87CBCD4BA0}"/>
    <hyperlink ref="R12" r:id="rId114" display="https://www.nba.com/stats/events/?flag=1&amp;CFID=&amp;CFPARAMS=&amp;PlayerID=203076&amp;TeamID=0&amp;GameID=&amp;ContextMeasure=OREB&amp;Season=2021-22&amp;SeasonType=Regular%20Season&amp;LeagueID=00&amp;PerMode=PerGame&amp;Scope=S&amp;StatCategory=PTS&amp;section=leaders" xr:uid="{AD3F332B-31B3-0742-BAC0-A8F0F3D54A7A}"/>
    <hyperlink ref="S12" r:id="rId115" display="https://www.nba.com/stats/events/?flag=1&amp;CFID=&amp;CFPARAMS=&amp;PlayerID=203076&amp;TeamID=0&amp;GameID=&amp;ContextMeasure=DREB&amp;Season=2021-22&amp;SeasonType=Regular%20Season&amp;LeagueID=00&amp;PerMode=PerGame&amp;Scope=S&amp;StatCategory=PTS&amp;section=leaders" xr:uid="{AEDDF960-3BA8-A748-8ECE-442B30D95DF8}"/>
    <hyperlink ref="T12" r:id="rId116" display="https://www.nba.com/stats/events/?flag=1&amp;CFID=&amp;CFPARAMS=&amp;PlayerID=203076&amp;TeamID=0&amp;GameID=&amp;ContextMeasure=REB&amp;Season=2021-22&amp;SeasonType=Regular%20Season&amp;LeagueID=00&amp;PerMode=PerGame&amp;Scope=S&amp;StatCategory=PTS&amp;section=leaders" xr:uid="{1C283BB4-44EC-564E-9A84-A3565566847B}"/>
    <hyperlink ref="U12" r:id="rId117" display="https://www.nba.com/stats/events/?flag=1&amp;CFID=&amp;CFPARAMS=&amp;PlayerID=203076&amp;TeamID=0&amp;GameID=&amp;ContextMeasure=AST&amp;Season=2021-22&amp;SeasonType=Regular%20Season&amp;LeagueID=00&amp;PerMode=PerGame&amp;Scope=S&amp;StatCategory=PTS&amp;section=leaders" xr:uid="{D41B7BFB-C6E9-1844-BFB7-A4CCF931D031}"/>
    <hyperlink ref="V12" r:id="rId118" display="https://www.nba.com/stats/events/?flag=1&amp;CFID=&amp;CFPARAMS=&amp;PlayerID=203076&amp;TeamID=0&amp;GameID=&amp;ContextMeasure=STL&amp;Season=2021-22&amp;SeasonType=Regular%20Season&amp;LeagueID=00&amp;PerMode=PerGame&amp;Scope=S&amp;StatCategory=PTS&amp;section=leaders" xr:uid="{D64904B1-6750-8E4C-8E76-AFCFD28A10A9}"/>
    <hyperlink ref="W12" r:id="rId119" display="https://www.nba.com/stats/events/?flag=1&amp;CFID=&amp;CFPARAMS=&amp;PlayerID=203076&amp;TeamID=0&amp;GameID=&amp;ContextMeasure=BLK&amp;Season=2021-22&amp;SeasonType=Regular%20Season&amp;LeagueID=00&amp;PerMode=PerGame&amp;Scope=S&amp;StatCategory=PTS&amp;section=leaders" xr:uid="{BE9D4BA4-E36F-604B-8723-D3ACC565B279}"/>
    <hyperlink ref="X12" r:id="rId120" display="https://www.nba.com/stats/events/?flag=1&amp;CFID=&amp;CFPARAMS=&amp;PlayerID=203076&amp;TeamID=0&amp;GameID=&amp;ContextMeasure=TOV&amp;Season=2021-22&amp;SeasonType=Regular%20Season&amp;LeagueID=00&amp;PerMode=PerGame&amp;Scope=S&amp;StatCategory=PTS&amp;section=leaders" xr:uid="{1E24420D-C44D-7E40-9365-47CE56148A7B}"/>
    <hyperlink ref="D13" r:id="rId121" display="https://www.nba.com/player/1629630/traditional/" xr:uid="{0A1A213A-1EE7-1041-A948-CDF346BF4F9E}"/>
    <hyperlink ref="H13" r:id="rId122" display="https://www.nba.com/stats/events/?flag=3&amp;CFID=&amp;CFPARAMS=&amp;PlayerID=1629630&amp;TeamID=0&amp;GameID=&amp;ContextMeasure=FGM&amp;Season=2021-22&amp;SeasonType=Regular%20Season&amp;LeagueID=00&amp;PerMode=PerGame&amp;Scope=S&amp;StatCategory=PTS&amp;section=leaders" xr:uid="{055A3277-5A69-BD4C-8672-3BCC8A3AEEDC}"/>
    <hyperlink ref="I13" r:id="rId123" display="https://www.nba.com/stats/events/?flag=3&amp;CFID=&amp;CFPARAMS=&amp;PlayerID=1629630&amp;TeamID=0&amp;GameID=&amp;ContextMeasure=FGA&amp;Season=2021-22&amp;SeasonType=Regular%20Season&amp;LeagueID=00&amp;PerMode=PerGame&amp;Scope=S&amp;StatCategory=PTS&amp;section=leaders" xr:uid="{B31BA573-1A4F-484B-B606-790F5E4BA8E3}"/>
    <hyperlink ref="K13" r:id="rId124" display="https://www.nba.com/stats/events/?flag=3&amp;CFID=&amp;CFPARAMS=&amp;PlayerID=1629630&amp;TeamID=0&amp;GameID=&amp;ContextMeasure=FG3M&amp;Season=2021-22&amp;SeasonType=Regular%20Season&amp;LeagueID=00&amp;PerMode=PerGame&amp;Scope=S&amp;StatCategory=PTS&amp;section=leaders" xr:uid="{1E72C0A3-9521-6044-8DFF-D02B876CF06C}"/>
    <hyperlink ref="L13" r:id="rId125" display="https://www.nba.com/stats/events/?flag=3&amp;CFID=&amp;CFPARAMS=&amp;PlayerID=1629630&amp;TeamID=0&amp;GameID=&amp;ContextMeasure=FG3A&amp;Season=2021-22&amp;SeasonType=Regular%20Season&amp;LeagueID=00&amp;PerMode=PerGame&amp;Scope=S&amp;StatCategory=PTS&amp;section=leaders" xr:uid="{E473A5F4-F552-C64E-BF9B-A50BB54C9825}"/>
    <hyperlink ref="R13" r:id="rId126" display="https://www.nba.com/stats/events/?flag=1&amp;CFID=&amp;CFPARAMS=&amp;PlayerID=1629630&amp;TeamID=0&amp;GameID=&amp;ContextMeasure=OREB&amp;Season=2021-22&amp;SeasonType=Regular%20Season&amp;LeagueID=00&amp;PerMode=PerGame&amp;Scope=S&amp;StatCategory=PTS&amp;section=leaders" xr:uid="{ADE25F73-C8EE-3348-BC2C-4603108D9FAF}"/>
    <hyperlink ref="S13" r:id="rId127" display="https://www.nba.com/stats/events/?flag=1&amp;CFID=&amp;CFPARAMS=&amp;PlayerID=1629630&amp;TeamID=0&amp;GameID=&amp;ContextMeasure=DREB&amp;Season=2021-22&amp;SeasonType=Regular%20Season&amp;LeagueID=00&amp;PerMode=PerGame&amp;Scope=S&amp;StatCategory=PTS&amp;section=leaders" xr:uid="{8F641C3C-92A8-9542-A6FD-2AB2797095C7}"/>
    <hyperlink ref="T13" r:id="rId128" display="https://www.nba.com/stats/events/?flag=1&amp;CFID=&amp;CFPARAMS=&amp;PlayerID=1629630&amp;TeamID=0&amp;GameID=&amp;ContextMeasure=REB&amp;Season=2021-22&amp;SeasonType=Regular%20Season&amp;LeagueID=00&amp;PerMode=PerGame&amp;Scope=S&amp;StatCategory=PTS&amp;section=leaders" xr:uid="{5441E281-1E82-EA48-973D-AF4CAC990995}"/>
    <hyperlink ref="U13" r:id="rId129" display="https://www.nba.com/stats/events/?flag=1&amp;CFID=&amp;CFPARAMS=&amp;PlayerID=1629630&amp;TeamID=0&amp;GameID=&amp;ContextMeasure=AST&amp;Season=2021-22&amp;SeasonType=Regular%20Season&amp;LeagueID=00&amp;PerMode=PerGame&amp;Scope=S&amp;StatCategory=PTS&amp;section=leaders" xr:uid="{F44FE49F-EE5B-1D41-937D-CCF88D3CC513}"/>
    <hyperlink ref="V13" r:id="rId130" display="https://www.nba.com/stats/events/?flag=1&amp;CFID=&amp;CFPARAMS=&amp;PlayerID=1629630&amp;TeamID=0&amp;GameID=&amp;ContextMeasure=STL&amp;Season=2021-22&amp;SeasonType=Regular%20Season&amp;LeagueID=00&amp;PerMode=PerGame&amp;Scope=S&amp;StatCategory=PTS&amp;section=leaders" xr:uid="{434E7514-3B9E-D843-BC03-9D35729C24C4}"/>
    <hyperlink ref="W13" r:id="rId131" display="https://www.nba.com/stats/events/?flag=1&amp;CFID=&amp;CFPARAMS=&amp;PlayerID=1629630&amp;TeamID=0&amp;GameID=&amp;ContextMeasure=BLK&amp;Season=2021-22&amp;SeasonType=Regular%20Season&amp;LeagueID=00&amp;PerMode=PerGame&amp;Scope=S&amp;StatCategory=PTS&amp;section=leaders" xr:uid="{25C5EFC9-E797-2A48-AEC8-5478F8BAC564}"/>
    <hyperlink ref="X13" r:id="rId132" display="https://www.nba.com/stats/events/?flag=1&amp;CFID=&amp;CFPARAMS=&amp;PlayerID=1629630&amp;TeamID=0&amp;GameID=&amp;ContextMeasure=TOV&amp;Season=2021-22&amp;SeasonType=Regular%20Season&amp;LeagueID=00&amp;PerMode=PerGame&amp;Scope=S&amp;StatCategory=PTS&amp;section=leaders" xr:uid="{282976EA-BCCC-1B42-AA05-896FF9AD7814}"/>
    <hyperlink ref="D14" r:id="rId133" display="https://www.nba.com/player/1626157/traditional/" xr:uid="{AFB89682-81DE-EF47-BD00-DA7BEFD08140}"/>
    <hyperlink ref="H14" r:id="rId134" display="https://www.nba.com/stats/events/?flag=3&amp;CFID=&amp;CFPARAMS=&amp;PlayerID=1626157&amp;TeamID=0&amp;GameID=&amp;ContextMeasure=FGM&amp;Season=2021-22&amp;SeasonType=Regular%20Season&amp;LeagueID=00&amp;PerMode=PerGame&amp;Scope=S&amp;StatCategory=PTS&amp;section=leaders" xr:uid="{10F1CFF8-9350-9E4F-B4AB-ED6B695576D1}"/>
    <hyperlink ref="I14" r:id="rId135" display="https://www.nba.com/stats/events/?flag=3&amp;CFID=&amp;CFPARAMS=&amp;PlayerID=1626157&amp;TeamID=0&amp;GameID=&amp;ContextMeasure=FGA&amp;Season=2021-22&amp;SeasonType=Regular%20Season&amp;LeagueID=00&amp;PerMode=PerGame&amp;Scope=S&amp;StatCategory=PTS&amp;section=leaders" xr:uid="{821A243F-855E-184F-B3AC-B8C374FB599B}"/>
    <hyperlink ref="K14" r:id="rId136" display="https://www.nba.com/stats/events/?flag=3&amp;CFID=&amp;CFPARAMS=&amp;PlayerID=1626157&amp;TeamID=0&amp;GameID=&amp;ContextMeasure=FG3M&amp;Season=2021-22&amp;SeasonType=Regular%20Season&amp;LeagueID=00&amp;PerMode=PerGame&amp;Scope=S&amp;StatCategory=PTS&amp;section=leaders" xr:uid="{3FDD505D-C716-C544-9238-38F4BFB3125C}"/>
    <hyperlink ref="L14" r:id="rId137" display="https://www.nba.com/stats/events/?flag=3&amp;CFID=&amp;CFPARAMS=&amp;PlayerID=1626157&amp;TeamID=0&amp;GameID=&amp;ContextMeasure=FG3A&amp;Season=2021-22&amp;SeasonType=Regular%20Season&amp;LeagueID=00&amp;PerMode=PerGame&amp;Scope=S&amp;StatCategory=PTS&amp;section=leaders" xr:uid="{FAE374CA-9363-CB45-B5F6-7D08E6983E62}"/>
    <hyperlink ref="R14" r:id="rId138" display="https://www.nba.com/stats/events/?flag=1&amp;CFID=&amp;CFPARAMS=&amp;PlayerID=1626157&amp;TeamID=0&amp;GameID=&amp;ContextMeasure=OREB&amp;Season=2021-22&amp;SeasonType=Regular%20Season&amp;LeagueID=00&amp;PerMode=PerGame&amp;Scope=S&amp;StatCategory=PTS&amp;section=leaders" xr:uid="{CA11970D-03ED-8E40-BCB9-2660F97FF2EB}"/>
    <hyperlink ref="S14" r:id="rId139" display="https://www.nba.com/stats/events/?flag=1&amp;CFID=&amp;CFPARAMS=&amp;PlayerID=1626157&amp;TeamID=0&amp;GameID=&amp;ContextMeasure=DREB&amp;Season=2021-22&amp;SeasonType=Regular%20Season&amp;LeagueID=00&amp;PerMode=PerGame&amp;Scope=S&amp;StatCategory=PTS&amp;section=leaders" xr:uid="{16ED7CC4-A330-6641-9C97-BA6A9559DE08}"/>
    <hyperlink ref="T14" r:id="rId140" display="https://www.nba.com/stats/events/?flag=1&amp;CFID=&amp;CFPARAMS=&amp;PlayerID=1626157&amp;TeamID=0&amp;GameID=&amp;ContextMeasure=REB&amp;Season=2021-22&amp;SeasonType=Regular%20Season&amp;LeagueID=00&amp;PerMode=PerGame&amp;Scope=S&amp;StatCategory=PTS&amp;section=leaders" xr:uid="{5868FCDA-8AEB-5945-AA06-0A6D7CD7DAAE}"/>
    <hyperlink ref="U14" r:id="rId141" display="https://www.nba.com/stats/events/?flag=1&amp;CFID=&amp;CFPARAMS=&amp;PlayerID=1626157&amp;TeamID=0&amp;GameID=&amp;ContextMeasure=AST&amp;Season=2021-22&amp;SeasonType=Regular%20Season&amp;LeagueID=00&amp;PerMode=PerGame&amp;Scope=S&amp;StatCategory=PTS&amp;section=leaders" xr:uid="{C4FA928B-1725-BB4C-B28E-80B3FC8FBB45}"/>
    <hyperlink ref="V14" r:id="rId142" display="https://www.nba.com/stats/events/?flag=1&amp;CFID=&amp;CFPARAMS=&amp;PlayerID=1626157&amp;TeamID=0&amp;GameID=&amp;ContextMeasure=STL&amp;Season=2021-22&amp;SeasonType=Regular%20Season&amp;LeagueID=00&amp;PerMode=PerGame&amp;Scope=S&amp;StatCategory=PTS&amp;section=leaders" xr:uid="{464E27DF-7AEE-694B-AE0B-A213C1F1DA1E}"/>
    <hyperlink ref="W14" r:id="rId143" display="https://www.nba.com/stats/events/?flag=1&amp;CFID=&amp;CFPARAMS=&amp;PlayerID=1626157&amp;TeamID=0&amp;GameID=&amp;ContextMeasure=BLK&amp;Season=2021-22&amp;SeasonType=Regular%20Season&amp;LeagueID=00&amp;PerMode=PerGame&amp;Scope=S&amp;StatCategory=PTS&amp;section=leaders" xr:uid="{8DC5B390-7CEE-D341-804F-5E2B3E42ED3A}"/>
    <hyperlink ref="X14" r:id="rId144" display="https://www.nba.com/stats/events/?flag=1&amp;CFID=&amp;CFPARAMS=&amp;PlayerID=1626157&amp;TeamID=0&amp;GameID=&amp;ContextMeasure=TOV&amp;Season=2021-22&amp;SeasonType=Regular%20Season&amp;LeagueID=00&amp;PerMode=PerGame&amp;Scope=S&amp;StatCategory=PTS&amp;section=leaders" xr:uid="{C56945C1-AF55-3E44-A957-AA0B2D274418}"/>
    <hyperlink ref="D15" r:id="rId145" display="https://www.nba.com/player/202710/traditional/" xr:uid="{AF19137C-0C7D-384D-8A61-51E9025701B5}"/>
    <hyperlink ref="H15" r:id="rId146" display="https://www.nba.com/stats/events/?flag=3&amp;CFID=&amp;CFPARAMS=&amp;PlayerID=202710&amp;TeamID=0&amp;GameID=&amp;ContextMeasure=FGM&amp;Season=2021-22&amp;SeasonType=Regular%20Season&amp;LeagueID=00&amp;PerMode=PerGame&amp;Scope=S&amp;StatCategory=PTS&amp;section=leaders" xr:uid="{62FFB353-0BA9-E648-80D6-2EB0C239E58C}"/>
    <hyperlink ref="I15" r:id="rId147" display="https://www.nba.com/stats/events/?flag=3&amp;CFID=&amp;CFPARAMS=&amp;PlayerID=202710&amp;TeamID=0&amp;GameID=&amp;ContextMeasure=FGA&amp;Season=2021-22&amp;SeasonType=Regular%20Season&amp;LeagueID=00&amp;PerMode=PerGame&amp;Scope=S&amp;StatCategory=PTS&amp;section=leaders" xr:uid="{886BF4DD-B99D-F54C-8C5A-A23CB7B91AFE}"/>
    <hyperlink ref="K15" r:id="rId148" display="https://www.nba.com/stats/events/?flag=3&amp;CFID=&amp;CFPARAMS=&amp;PlayerID=202710&amp;TeamID=0&amp;GameID=&amp;ContextMeasure=FG3M&amp;Season=2021-22&amp;SeasonType=Regular%20Season&amp;LeagueID=00&amp;PerMode=PerGame&amp;Scope=S&amp;StatCategory=PTS&amp;section=leaders" xr:uid="{332A58AE-3ECE-5C41-9604-28C24DABF14E}"/>
    <hyperlink ref="L15" r:id="rId149" display="https://www.nba.com/stats/events/?flag=3&amp;CFID=&amp;CFPARAMS=&amp;PlayerID=202710&amp;TeamID=0&amp;GameID=&amp;ContextMeasure=FG3A&amp;Season=2021-22&amp;SeasonType=Regular%20Season&amp;LeagueID=00&amp;PerMode=PerGame&amp;Scope=S&amp;StatCategory=PTS&amp;section=leaders" xr:uid="{73C99805-825C-EB4B-9F4E-2A7BA8B74D64}"/>
    <hyperlink ref="R15" r:id="rId150" display="https://www.nba.com/stats/events/?flag=1&amp;CFID=&amp;CFPARAMS=&amp;PlayerID=202710&amp;TeamID=0&amp;GameID=&amp;ContextMeasure=OREB&amp;Season=2021-22&amp;SeasonType=Regular%20Season&amp;LeagueID=00&amp;PerMode=PerGame&amp;Scope=S&amp;StatCategory=PTS&amp;section=leaders" xr:uid="{317F5288-24BF-D545-872E-66AD214DC216}"/>
    <hyperlink ref="S15" r:id="rId151" display="https://www.nba.com/stats/events/?flag=1&amp;CFID=&amp;CFPARAMS=&amp;PlayerID=202710&amp;TeamID=0&amp;GameID=&amp;ContextMeasure=DREB&amp;Season=2021-22&amp;SeasonType=Regular%20Season&amp;LeagueID=00&amp;PerMode=PerGame&amp;Scope=S&amp;StatCategory=PTS&amp;section=leaders" xr:uid="{CBD9D768-A7D4-A645-90C4-12CF95EE2ACF}"/>
    <hyperlink ref="T15" r:id="rId152" display="https://www.nba.com/stats/events/?flag=1&amp;CFID=&amp;CFPARAMS=&amp;PlayerID=202710&amp;TeamID=0&amp;GameID=&amp;ContextMeasure=REB&amp;Season=2021-22&amp;SeasonType=Regular%20Season&amp;LeagueID=00&amp;PerMode=PerGame&amp;Scope=S&amp;StatCategory=PTS&amp;section=leaders" xr:uid="{AB1A0428-BCB7-6F4D-B784-B23FBCE99E34}"/>
    <hyperlink ref="U15" r:id="rId153" display="https://www.nba.com/stats/events/?flag=1&amp;CFID=&amp;CFPARAMS=&amp;PlayerID=202710&amp;TeamID=0&amp;GameID=&amp;ContextMeasure=AST&amp;Season=2021-22&amp;SeasonType=Regular%20Season&amp;LeagueID=00&amp;PerMode=PerGame&amp;Scope=S&amp;StatCategory=PTS&amp;section=leaders" xr:uid="{9D20E54E-6E25-9444-8FFC-46E9791B687E}"/>
    <hyperlink ref="V15" r:id="rId154" display="https://www.nba.com/stats/events/?flag=1&amp;CFID=&amp;CFPARAMS=&amp;PlayerID=202710&amp;TeamID=0&amp;GameID=&amp;ContextMeasure=STL&amp;Season=2021-22&amp;SeasonType=Regular%20Season&amp;LeagueID=00&amp;PerMode=PerGame&amp;Scope=S&amp;StatCategory=PTS&amp;section=leaders" xr:uid="{64B18A4C-C7BF-2445-9F42-A5C95F734304}"/>
    <hyperlink ref="W15" r:id="rId155" display="https://www.nba.com/stats/events/?flag=1&amp;CFID=&amp;CFPARAMS=&amp;PlayerID=202710&amp;TeamID=0&amp;GameID=&amp;ContextMeasure=BLK&amp;Season=2021-22&amp;SeasonType=Regular%20Season&amp;LeagueID=00&amp;PerMode=PerGame&amp;Scope=S&amp;StatCategory=PTS&amp;section=leaders" xr:uid="{D8A8B8EA-2AEB-9E4B-90A5-EB3E5C6F48FD}"/>
    <hyperlink ref="X15" r:id="rId156" display="https://www.nba.com/stats/events/?flag=1&amp;CFID=&amp;CFPARAMS=&amp;PlayerID=202710&amp;TeamID=0&amp;GameID=&amp;ContextMeasure=TOV&amp;Season=2021-22&amp;SeasonType=Regular%20Season&amp;LeagueID=00&amp;PerMode=PerGame&amp;Scope=S&amp;StatCategory=PTS&amp;section=leaders" xr:uid="{E0BC90C3-D699-E449-A516-C75E8F891488}"/>
    <hyperlink ref="D16" r:id="rId157" display="https://www.nba.com/player/1626164/traditional/" xr:uid="{CB33DF72-91ED-1E43-9B6E-D8FD469BCF11}"/>
    <hyperlink ref="H16" r:id="rId158" display="https://www.nba.com/stats/events/?flag=3&amp;CFID=&amp;CFPARAMS=&amp;PlayerID=1626164&amp;TeamID=0&amp;GameID=&amp;ContextMeasure=FGM&amp;Season=2021-22&amp;SeasonType=Regular%20Season&amp;LeagueID=00&amp;PerMode=PerGame&amp;Scope=S&amp;StatCategory=PTS&amp;section=leaders" xr:uid="{B5F9DE8A-2422-4841-B35A-7787175D900B}"/>
    <hyperlink ref="I16" r:id="rId159" display="https://www.nba.com/stats/events/?flag=3&amp;CFID=&amp;CFPARAMS=&amp;PlayerID=1626164&amp;TeamID=0&amp;GameID=&amp;ContextMeasure=FGA&amp;Season=2021-22&amp;SeasonType=Regular%20Season&amp;LeagueID=00&amp;PerMode=PerGame&amp;Scope=S&amp;StatCategory=PTS&amp;section=leaders" xr:uid="{33F00E56-E90B-044F-B8EA-935F5F9FC082}"/>
    <hyperlink ref="K16" r:id="rId160" display="https://www.nba.com/stats/events/?flag=3&amp;CFID=&amp;CFPARAMS=&amp;PlayerID=1626164&amp;TeamID=0&amp;GameID=&amp;ContextMeasure=FG3M&amp;Season=2021-22&amp;SeasonType=Regular%20Season&amp;LeagueID=00&amp;PerMode=PerGame&amp;Scope=S&amp;StatCategory=PTS&amp;section=leaders" xr:uid="{871729F5-FB75-394E-BFCD-F2789735B571}"/>
    <hyperlink ref="L16" r:id="rId161" display="https://www.nba.com/stats/events/?flag=3&amp;CFID=&amp;CFPARAMS=&amp;PlayerID=1626164&amp;TeamID=0&amp;GameID=&amp;ContextMeasure=FG3A&amp;Season=2021-22&amp;SeasonType=Regular%20Season&amp;LeagueID=00&amp;PerMode=PerGame&amp;Scope=S&amp;StatCategory=PTS&amp;section=leaders" xr:uid="{051912BA-DCD5-8F43-B365-6A48E9FFF7C8}"/>
    <hyperlink ref="R16" r:id="rId162" display="https://www.nba.com/stats/events/?flag=1&amp;CFID=&amp;CFPARAMS=&amp;PlayerID=1626164&amp;TeamID=0&amp;GameID=&amp;ContextMeasure=OREB&amp;Season=2021-22&amp;SeasonType=Regular%20Season&amp;LeagueID=00&amp;PerMode=PerGame&amp;Scope=S&amp;StatCategory=PTS&amp;section=leaders" xr:uid="{788028B9-81D6-784F-B410-D60782DB26D7}"/>
    <hyperlink ref="S16" r:id="rId163" display="https://www.nba.com/stats/events/?flag=1&amp;CFID=&amp;CFPARAMS=&amp;PlayerID=1626164&amp;TeamID=0&amp;GameID=&amp;ContextMeasure=DREB&amp;Season=2021-22&amp;SeasonType=Regular%20Season&amp;LeagueID=00&amp;PerMode=PerGame&amp;Scope=S&amp;StatCategory=PTS&amp;section=leaders" xr:uid="{C8911906-CD3A-3347-ACDB-40C5CFF3E099}"/>
    <hyperlink ref="T16" r:id="rId164" display="https://www.nba.com/stats/events/?flag=1&amp;CFID=&amp;CFPARAMS=&amp;PlayerID=1626164&amp;TeamID=0&amp;GameID=&amp;ContextMeasure=REB&amp;Season=2021-22&amp;SeasonType=Regular%20Season&amp;LeagueID=00&amp;PerMode=PerGame&amp;Scope=S&amp;StatCategory=PTS&amp;section=leaders" xr:uid="{6E2C8144-1855-FA4F-A4C1-2F079291F858}"/>
    <hyperlink ref="U16" r:id="rId165" display="https://www.nba.com/stats/events/?flag=1&amp;CFID=&amp;CFPARAMS=&amp;PlayerID=1626164&amp;TeamID=0&amp;GameID=&amp;ContextMeasure=AST&amp;Season=2021-22&amp;SeasonType=Regular%20Season&amp;LeagueID=00&amp;PerMode=PerGame&amp;Scope=S&amp;StatCategory=PTS&amp;section=leaders" xr:uid="{1021CD79-AD11-BB4F-A7B4-7CF1979B143E}"/>
    <hyperlink ref="V16" r:id="rId166" display="https://www.nba.com/stats/events/?flag=1&amp;CFID=&amp;CFPARAMS=&amp;PlayerID=1626164&amp;TeamID=0&amp;GameID=&amp;ContextMeasure=STL&amp;Season=2021-22&amp;SeasonType=Regular%20Season&amp;LeagueID=00&amp;PerMode=PerGame&amp;Scope=S&amp;StatCategory=PTS&amp;section=leaders" xr:uid="{4E0EF047-28C3-AF4B-BE06-224C24916F50}"/>
    <hyperlink ref="W16" r:id="rId167" display="https://www.nba.com/stats/events/?flag=1&amp;CFID=&amp;CFPARAMS=&amp;PlayerID=1626164&amp;TeamID=0&amp;GameID=&amp;ContextMeasure=BLK&amp;Season=2021-22&amp;SeasonType=Regular%20Season&amp;LeagueID=00&amp;PerMode=PerGame&amp;Scope=S&amp;StatCategory=PTS&amp;section=leaders" xr:uid="{CFC3DD3C-250C-064E-8E6A-9A9CE75A953E}"/>
    <hyperlink ref="X16" r:id="rId168" display="https://www.nba.com/stats/events/?flag=1&amp;CFID=&amp;CFPARAMS=&amp;PlayerID=1626164&amp;TeamID=0&amp;GameID=&amp;ContextMeasure=TOV&amp;Season=2021-22&amp;SeasonType=Regular%20Season&amp;LeagueID=00&amp;PerMode=PerGame&amp;Scope=S&amp;StatCategory=PTS&amp;section=leaders" xr:uid="{10687F2A-2D12-6042-A3CE-630301AAA8ED}"/>
    <hyperlink ref="D17" r:id="rId169" display="https://www.nba.com/player/1628378/traditional/" xr:uid="{C1E31A14-A65E-4A42-BD34-FBF20895DD00}"/>
    <hyperlink ref="H17" r:id="rId170" display="https://www.nba.com/stats/events/?flag=3&amp;CFID=&amp;CFPARAMS=&amp;PlayerID=1628378&amp;TeamID=0&amp;GameID=&amp;ContextMeasure=FGM&amp;Season=2021-22&amp;SeasonType=Regular%20Season&amp;LeagueID=00&amp;PerMode=PerGame&amp;Scope=S&amp;StatCategory=PTS&amp;section=leaders" xr:uid="{E51F079F-A70A-AD46-B3AA-8B76806EE972}"/>
    <hyperlink ref="I17" r:id="rId171" display="https://www.nba.com/stats/events/?flag=3&amp;CFID=&amp;CFPARAMS=&amp;PlayerID=1628378&amp;TeamID=0&amp;GameID=&amp;ContextMeasure=FGA&amp;Season=2021-22&amp;SeasonType=Regular%20Season&amp;LeagueID=00&amp;PerMode=PerGame&amp;Scope=S&amp;StatCategory=PTS&amp;section=leaders" xr:uid="{DDC2548B-3C5E-554A-977D-9555CB305A08}"/>
    <hyperlink ref="K17" r:id="rId172" display="https://www.nba.com/stats/events/?flag=3&amp;CFID=&amp;CFPARAMS=&amp;PlayerID=1628378&amp;TeamID=0&amp;GameID=&amp;ContextMeasure=FG3M&amp;Season=2021-22&amp;SeasonType=Regular%20Season&amp;LeagueID=00&amp;PerMode=PerGame&amp;Scope=S&amp;StatCategory=PTS&amp;section=leaders" xr:uid="{5B36ACD7-575B-744B-9446-BF2476D0626D}"/>
    <hyperlink ref="L17" r:id="rId173" display="https://www.nba.com/stats/events/?flag=3&amp;CFID=&amp;CFPARAMS=&amp;PlayerID=1628378&amp;TeamID=0&amp;GameID=&amp;ContextMeasure=FG3A&amp;Season=2021-22&amp;SeasonType=Regular%20Season&amp;LeagueID=00&amp;PerMode=PerGame&amp;Scope=S&amp;StatCategory=PTS&amp;section=leaders" xr:uid="{2B1C1977-C9D3-BF4F-BA84-9C347CD641FA}"/>
    <hyperlink ref="R17" r:id="rId174" display="https://www.nba.com/stats/events/?flag=1&amp;CFID=&amp;CFPARAMS=&amp;PlayerID=1628378&amp;TeamID=0&amp;GameID=&amp;ContextMeasure=OREB&amp;Season=2021-22&amp;SeasonType=Regular%20Season&amp;LeagueID=00&amp;PerMode=PerGame&amp;Scope=S&amp;StatCategory=PTS&amp;section=leaders" xr:uid="{2F0A1FDC-165D-C344-91A7-1FA80EECCD4E}"/>
    <hyperlink ref="S17" r:id="rId175" display="https://www.nba.com/stats/events/?flag=1&amp;CFID=&amp;CFPARAMS=&amp;PlayerID=1628378&amp;TeamID=0&amp;GameID=&amp;ContextMeasure=DREB&amp;Season=2021-22&amp;SeasonType=Regular%20Season&amp;LeagueID=00&amp;PerMode=PerGame&amp;Scope=S&amp;StatCategory=PTS&amp;section=leaders" xr:uid="{B917D0F8-ED92-C942-94D1-587003ADCD42}"/>
    <hyperlink ref="T17" r:id="rId176" display="https://www.nba.com/stats/events/?flag=1&amp;CFID=&amp;CFPARAMS=&amp;PlayerID=1628378&amp;TeamID=0&amp;GameID=&amp;ContextMeasure=REB&amp;Season=2021-22&amp;SeasonType=Regular%20Season&amp;LeagueID=00&amp;PerMode=PerGame&amp;Scope=S&amp;StatCategory=PTS&amp;section=leaders" xr:uid="{E9C37839-E25E-6148-98C0-DB46588CE188}"/>
    <hyperlink ref="U17" r:id="rId177" display="https://www.nba.com/stats/events/?flag=1&amp;CFID=&amp;CFPARAMS=&amp;PlayerID=1628378&amp;TeamID=0&amp;GameID=&amp;ContextMeasure=AST&amp;Season=2021-22&amp;SeasonType=Regular%20Season&amp;LeagueID=00&amp;PerMode=PerGame&amp;Scope=S&amp;StatCategory=PTS&amp;section=leaders" xr:uid="{9A94354A-FCAA-1D48-9345-50887440740D}"/>
    <hyperlink ref="V17" r:id="rId178" display="https://www.nba.com/stats/events/?flag=1&amp;CFID=&amp;CFPARAMS=&amp;PlayerID=1628378&amp;TeamID=0&amp;GameID=&amp;ContextMeasure=STL&amp;Season=2021-22&amp;SeasonType=Regular%20Season&amp;LeagueID=00&amp;PerMode=PerGame&amp;Scope=S&amp;StatCategory=PTS&amp;section=leaders" xr:uid="{2BAFB5F3-8C40-4647-89F2-D91AAF4C0CB2}"/>
    <hyperlink ref="W17" r:id="rId179" display="https://www.nba.com/stats/events/?flag=1&amp;CFID=&amp;CFPARAMS=&amp;PlayerID=1628378&amp;TeamID=0&amp;GameID=&amp;ContextMeasure=BLK&amp;Season=2021-22&amp;SeasonType=Regular%20Season&amp;LeagueID=00&amp;PerMode=PerGame&amp;Scope=S&amp;StatCategory=PTS&amp;section=leaders" xr:uid="{6AE783EE-FF5D-BF42-9FD6-E9126E1FAC5A}"/>
    <hyperlink ref="X17" r:id="rId180" display="https://www.nba.com/stats/events/?flag=1&amp;CFID=&amp;CFPARAMS=&amp;PlayerID=1628378&amp;TeamID=0&amp;GameID=&amp;ContextMeasure=TOV&amp;Season=2021-22&amp;SeasonType=Regular%20Season&amp;LeagueID=00&amp;PerMode=PerGame&amp;Scope=S&amp;StatCategory=PTS&amp;section=leaders" xr:uid="{85DBA6B9-3392-2C41-9DDF-18BEFFB7D663}"/>
    <hyperlink ref="D18" r:id="rId181" display="https://www.nba.com/player/203078/traditional/" xr:uid="{9E4B9EC1-B52A-C445-B7FA-E92E41C8A30A}"/>
    <hyperlink ref="H18" r:id="rId182" display="https://www.nba.com/stats/events/?flag=3&amp;CFID=&amp;CFPARAMS=&amp;PlayerID=203078&amp;TeamID=0&amp;GameID=&amp;ContextMeasure=FGM&amp;Season=2021-22&amp;SeasonType=Regular%20Season&amp;LeagueID=00&amp;PerMode=PerGame&amp;Scope=S&amp;StatCategory=PTS&amp;section=leaders" xr:uid="{E1A7A47D-1B25-1B46-9B01-7F13BB66ECFB}"/>
    <hyperlink ref="I18" r:id="rId183" display="https://www.nba.com/stats/events/?flag=3&amp;CFID=&amp;CFPARAMS=&amp;PlayerID=203078&amp;TeamID=0&amp;GameID=&amp;ContextMeasure=FGA&amp;Season=2021-22&amp;SeasonType=Regular%20Season&amp;LeagueID=00&amp;PerMode=PerGame&amp;Scope=S&amp;StatCategory=PTS&amp;section=leaders" xr:uid="{209315E7-1B2C-F747-8F05-07009996DE4E}"/>
    <hyperlink ref="K18" r:id="rId184" display="https://www.nba.com/stats/events/?flag=3&amp;CFID=&amp;CFPARAMS=&amp;PlayerID=203078&amp;TeamID=0&amp;GameID=&amp;ContextMeasure=FG3M&amp;Season=2021-22&amp;SeasonType=Regular%20Season&amp;LeagueID=00&amp;PerMode=PerGame&amp;Scope=S&amp;StatCategory=PTS&amp;section=leaders" xr:uid="{756D494E-F1E1-7F48-8CE8-1AD6EA4E6C4E}"/>
    <hyperlink ref="L18" r:id="rId185" display="https://www.nba.com/stats/events/?flag=3&amp;CFID=&amp;CFPARAMS=&amp;PlayerID=203078&amp;TeamID=0&amp;GameID=&amp;ContextMeasure=FG3A&amp;Season=2021-22&amp;SeasonType=Regular%20Season&amp;LeagueID=00&amp;PerMode=PerGame&amp;Scope=S&amp;StatCategory=PTS&amp;section=leaders" xr:uid="{919BAC79-267E-AD4A-9C62-AD58A0AC7BA4}"/>
    <hyperlink ref="R18" r:id="rId186" display="https://www.nba.com/stats/events/?flag=1&amp;CFID=&amp;CFPARAMS=&amp;PlayerID=203078&amp;TeamID=0&amp;GameID=&amp;ContextMeasure=OREB&amp;Season=2021-22&amp;SeasonType=Regular%20Season&amp;LeagueID=00&amp;PerMode=PerGame&amp;Scope=S&amp;StatCategory=PTS&amp;section=leaders" xr:uid="{114DFD26-A6EB-D64D-93C3-136A3C229703}"/>
    <hyperlink ref="S18" r:id="rId187" display="https://www.nba.com/stats/events/?flag=1&amp;CFID=&amp;CFPARAMS=&amp;PlayerID=203078&amp;TeamID=0&amp;GameID=&amp;ContextMeasure=DREB&amp;Season=2021-22&amp;SeasonType=Regular%20Season&amp;LeagueID=00&amp;PerMode=PerGame&amp;Scope=S&amp;StatCategory=PTS&amp;section=leaders" xr:uid="{10EC826A-86C8-6344-BF63-5EC423D58140}"/>
    <hyperlink ref="T18" r:id="rId188" display="https://www.nba.com/stats/events/?flag=1&amp;CFID=&amp;CFPARAMS=&amp;PlayerID=203078&amp;TeamID=0&amp;GameID=&amp;ContextMeasure=REB&amp;Season=2021-22&amp;SeasonType=Regular%20Season&amp;LeagueID=00&amp;PerMode=PerGame&amp;Scope=S&amp;StatCategory=PTS&amp;section=leaders" xr:uid="{C5E7BB77-3C8E-B048-AEBB-269BB0C5E00F}"/>
    <hyperlink ref="U18" r:id="rId189" display="https://www.nba.com/stats/events/?flag=1&amp;CFID=&amp;CFPARAMS=&amp;PlayerID=203078&amp;TeamID=0&amp;GameID=&amp;ContextMeasure=AST&amp;Season=2021-22&amp;SeasonType=Regular%20Season&amp;LeagueID=00&amp;PerMode=PerGame&amp;Scope=S&amp;StatCategory=PTS&amp;section=leaders" xr:uid="{AD68669E-27D6-FB43-80F6-A9BC7FFDBAFF}"/>
    <hyperlink ref="V18" r:id="rId190" display="https://www.nba.com/stats/events/?flag=1&amp;CFID=&amp;CFPARAMS=&amp;PlayerID=203078&amp;TeamID=0&amp;GameID=&amp;ContextMeasure=STL&amp;Season=2021-22&amp;SeasonType=Regular%20Season&amp;LeagueID=00&amp;PerMode=PerGame&amp;Scope=S&amp;StatCategory=PTS&amp;section=leaders" xr:uid="{1F5200DE-F42C-5146-B6E3-324B02A06ED8}"/>
    <hyperlink ref="W18" r:id="rId191" display="https://www.nba.com/stats/events/?flag=1&amp;CFID=&amp;CFPARAMS=&amp;PlayerID=203078&amp;TeamID=0&amp;GameID=&amp;ContextMeasure=BLK&amp;Season=2021-22&amp;SeasonType=Regular%20Season&amp;LeagueID=00&amp;PerMode=PerGame&amp;Scope=S&amp;StatCategory=PTS&amp;section=leaders" xr:uid="{2AFBA33C-6D47-0347-BCE3-6CE14F49BE97}"/>
    <hyperlink ref="X18" r:id="rId192" display="https://www.nba.com/stats/events/?flag=1&amp;CFID=&amp;CFPARAMS=&amp;PlayerID=203078&amp;TeamID=0&amp;GameID=&amp;ContextMeasure=TOV&amp;Season=2021-22&amp;SeasonType=Regular%20Season&amp;LeagueID=00&amp;PerMode=PerGame&amp;Scope=S&amp;StatCategory=PTS&amp;section=leaders" xr:uid="{62C2020E-09BB-8841-82E7-370E1092C22F}"/>
    <hyperlink ref="D19" r:id="rId193" display="https://www.nba.com/player/1627742/traditional/" xr:uid="{F0AD364B-FE7F-3546-8A70-CA07100F1D87}"/>
    <hyperlink ref="H19" r:id="rId194" display="https://www.nba.com/stats/events/?flag=3&amp;CFID=&amp;CFPARAMS=&amp;PlayerID=1627742&amp;TeamID=0&amp;GameID=&amp;ContextMeasure=FGM&amp;Season=2021-22&amp;SeasonType=Regular%20Season&amp;LeagueID=00&amp;PerMode=PerGame&amp;Scope=S&amp;StatCategory=PTS&amp;section=leaders" xr:uid="{2CC98B58-B611-2247-B029-46147FEBE9DC}"/>
    <hyperlink ref="I19" r:id="rId195" display="https://www.nba.com/stats/events/?flag=3&amp;CFID=&amp;CFPARAMS=&amp;PlayerID=1627742&amp;TeamID=0&amp;GameID=&amp;ContextMeasure=FGA&amp;Season=2021-22&amp;SeasonType=Regular%20Season&amp;LeagueID=00&amp;PerMode=PerGame&amp;Scope=S&amp;StatCategory=PTS&amp;section=leaders" xr:uid="{CD31B7D7-95DC-1C4F-888D-EE9F8290D41D}"/>
    <hyperlink ref="K19" r:id="rId196" display="https://www.nba.com/stats/events/?flag=3&amp;CFID=&amp;CFPARAMS=&amp;PlayerID=1627742&amp;TeamID=0&amp;GameID=&amp;ContextMeasure=FG3M&amp;Season=2021-22&amp;SeasonType=Regular%20Season&amp;LeagueID=00&amp;PerMode=PerGame&amp;Scope=S&amp;StatCategory=PTS&amp;section=leaders" xr:uid="{0989067B-9259-0B43-BED6-71DBBE40A91E}"/>
    <hyperlink ref="L19" r:id="rId197" display="https://www.nba.com/stats/events/?flag=3&amp;CFID=&amp;CFPARAMS=&amp;PlayerID=1627742&amp;TeamID=0&amp;GameID=&amp;ContextMeasure=FG3A&amp;Season=2021-22&amp;SeasonType=Regular%20Season&amp;LeagueID=00&amp;PerMode=PerGame&amp;Scope=S&amp;StatCategory=PTS&amp;section=leaders" xr:uid="{E776A9FE-1ACD-4045-A90D-476C593BD8BD}"/>
    <hyperlink ref="R19" r:id="rId198" display="https://www.nba.com/stats/events/?flag=1&amp;CFID=&amp;CFPARAMS=&amp;PlayerID=1627742&amp;TeamID=0&amp;GameID=&amp;ContextMeasure=OREB&amp;Season=2021-22&amp;SeasonType=Regular%20Season&amp;LeagueID=00&amp;PerMode=PerGame&amp;Scope=S&amp;StatCategory=PTS&amp;section=leaders" xr:uid="{E7451B4D-407E-D149-9023-FF3CC6507567}"/>
    <hyperlink ref="S19" r:id="rId199" display="https://www.nba.com/stats/events/?flag=1&amp;CFID=&amp;CFPARAMS=&amp;PlayerID=1627742&amp;TeamID=0&amp;GameID=&amp;ContextMeasure=DREB&amp;Season=2021-22&amp;SeasonType=Regular%20Season&amp;LeagueID=00&amp;PerMode=PerGame&amp;Scope=S&amp;StatCategory=PTS&amp;section=leaders" xr:uid="{71CB73FA-0390-074D-A2AB-634353827AE5}"/>
    <hyperlink ref="T19" r:id="rId200" display="https://www.nba.com/stats/events/?flag=1&amp;CFID=&amp;CFPARAMS=&amp;PlayerID=1627742&amp;TeamID=0&amp;GameID=&amp;ContextMeasure=REB&amp;Season=2021-22&amp;SeasonType=Regular%20Season&amp;LeagueID=00&amp;PerMode=PerGame&amp;Scope=S&amp;StatCategory=PTS&amp;section=leaders" xr:uid="{DC528B5F-18D7-EE48-A543-3F22AA83BE22}"/>
    <hyperlink ref="U19" r:id="rId201" display="https://www.nba.com/stats/events/?flag=1&amp;CFID=&amp;CFPARAMS=&amp;PlayerID=1627742&amp;TeamID=0&amp;GameID=&amp;ContextMeasure=AST&amp;Season=2021-22&amp;SeasonType=Regular%20Season&amp;LeagueID=00&amp;PerMode=PerGame&amp;Scope=S&amp;StatCategory=PTS&amp;section=leaders" xr:uid="{1E0D2DB7-5834-FE49-BD9B-02EF4EFAF529}"/>
    <hyperlink ref="V19" r:id="rId202" display="https://www.nba.com/stats/events/?flag=1&amp;CFID=&amp;CFPARAMS=&amp;PlayerID=1627742&amp;TeamID=0&amp;GameID=&amp;ContextMeasure=STL&amp;Season=2021-22&amp;SeasonType=Regular%20Season&amp;LeagueID=00&amp;PerMode=PerGame&amp;Scope=S&amp;StatCategory=PTS&amp;section=leaders" xr:uid="{7958B581-F988-C241-9559-558FA7E719F1}"/>
    <hyperlink ref="W19" r:id="rId203" display="https://www.nba.com/stats/events/?flag=1&amp;CFID=&amp;CFPARAMS=&amp;PlayerID=1627742&amp;TeamID=0&amp;GameID=&amp;ContextMeasure=BLK&amp;Season=2021-22&amp;SeasonType=Regular%20Season&amp;LeagueID=00&amp;PerMode=PerGame&amp;Scope=S&amp;StatCategory=PTS&amp;section=leaders" xr:uid="{D51FC783-54FF-D04D-BA23-72D33BD5A27A}"/>
    <hyperlink ref="X19" r:id="rId204" display="https://www.nba.com/stats/events/?flag=1&amp;CFID=&amp;CFPARAMS=&amp;PlayerID=1627742&amp;TeamID=0&amp;GameID=&amp;ContextMeasure=TOV&amp;Season=2021-22&amp;SeasonType=Regular%20Season&amp;LeagueID=00&amp;PerMode=PerGame&amp;Scope=S&amp;StatCategory=PTS&amp;section=leaders" xr:uid="{91F4B38B-194A-174D-87FD-B9D5F145116F}"/>
    <hyperlink ref="D20" r:id="rId205" display="https://www.nba.com/player/203081/traditional/" xr:uid="{035A2150-F25D-AC48-B246-99897840FE59}"/>
    <hyperlink ref="H20" r:id="rId206" display="https://www.nba.com/stats/events/?flag=3&amp;CFID=&amp;CFPARAMS=&amp;PlayerID=203081&amp;TeamID=0&amp;GameID=&amp;ContextMeasure=FGM&amp;Season=2021-22&amp;SeasonType=Regular%20Season&amp;LeagueID=00&amp;PerMode=PerGame&amp;Scope=S&amp;StatCategory=PTS&amp;section=leaders" xr:uid="{0B9F746F-6F79-6544-99CA-D0659EDB3F2D}"/>
    <hyperlink ref="I20" r:id="rId207" display="https://www.nba.com/stats/events/?flag=3&amp;CFID=&amp;CFPARAMS=&amp;PlayerID=203081&amp;TeamID=0&amp;GameID=&amp;ContextMeasure=FGA&amp;Season=2021-22&amp;SeasonType=Regular%20Season&amp;LeagueID=00&amp;PerMode=PerGame&amp;Scope=S&amp;StatCategory=PTS&amp;section=leaders" xr:uid="{B0DFF347-4DA1-4F48-9FBF-3AE373F23F49}"/>
    <hyperlink ref="K20" r:id="rId208" display="https://www.nba.com/stats/events/?flag=3&amp;CFID=&amp;CFPARAMS=&amp;PlayerID=203081&amp;TeamID=0&amp;GameID=&amp;ContextMeasure=FG3M&amp;Season=2021-22&amp;SeasonType=Regular%20Season&amp;LeagueID=00&amp;PerMode=PerGame&amp;Scope=S&amp;StatCategory=PTS&amp;section=leaders" xr:uid="{F4123A92-4CAD-AB46-8541-3F9A6BDBD7DA}"/>
    <hyperlink ref="L20" r:id="rId209" display="https://www.nba.com/stats/events/?flag=3&amp;CFID=&amp;CFPARAMS=&amp;PlayerID=203081&amp;TeamID=0&amp;GameID=&amp;ContextMeasure=FG3A&amp;Season=2021-22&amp;SeasonType=Regular%20Season&amp;LeagueID=00&amp;PerMode=PerGame&amp;Scope=S&amp;StatCategory=PTS&amp;section=leaders" xr:uid="{85FCC748-E69B-F844-B34E-9212A5B64D82}"/>
    <hyperlink ref="R20" r:id="rId210" display="https://www.nba.com/stats/events/?flag=1&amp;CFID=&amp;CFPARAMS=&amp;PlayerID=203081&amp;TeamID=0&amp;GameID=&amp;ContextMeasure=OREB&amp;Season=2021-22&amp;SeasonType=Regular%20Season&amp;LeagueID=00&amp;PerMode=PerGame&amp;Scope=S&amp;StatCategory=PTS&amp;section=leaders" xr:uid="{56722F05-BCA7-BA4A-B743-A7046243563E}"/>
    <hyperlink ref="S20" r:id="rId211" display="https://www.nba.com/stats/events/?flag=1&amp;CFID=&amp;CFPARAMS=&amp;PlayerID=203081&amp;TeamID=0&amp;GameID=&amp;ContextMeasure=DREB&amp;Season=2021-22&amp;SeasonType=Regular%20Season&amp;LeagueID=00&amp;PerMode=PerGame&amp;Scope=S&amp;StatCategory=PTS&amp;section=leaders" xr:uid="{92D6A6B4-8D8B-4E49-B1E5-388CECDE6842}"/>
    <hyperlink ref="T20" r:id="rId212" display="https://www.nba.com/stats/events/?flag=1&amp;CFID=&amp;CFPARAMS=&amp;PlayerID=203081&amp;TeamID=0&amp;GameID=&amp;ContextMeasure=REB&amp;Season=2021-22&amp;SeasonType=Regular%20Season&amp;LeagueID=00&amp;PerMode=PerGame&amp;Scope=S&amp;StatCategory=PTS&amp;section=leaders" xr:uid="{71F38D0B-565E-F84F-AF82-AD25552343C4}"/>
    <hyperlink ref="U20" r:id="rId213" display="https://www.nba.com/stats/events/?flag=1&amp;CFID=&amp;CFPARAMS=&amp;PlayerID=203081&amp;TeamID=0&amp;GameID=&amp;ContextMeasure=AST&amp;Season=2021-22&amp;SeasonType=Regular%20Season&amp;LeagueID=00&amp;PerMode=PerGame&amp;Scope=S&amp;StatCategory=PTS&amp;section=leaders" xr:uid="{9B442E35-6CC6-8F4C-AF28-EAD39C526380}"/>
    <hyperlink ref="V20" r:id="rId214" display="https://www.nba.com/stats/events/?flag=1&amp;CFID=&amp;CFPARAMS=&amp;PlayerID=203081&amp;TeamID=0&amp;GameID=&amp;ContextMeasure=STL&amp;Season=2021-22&amp;SeasonType=Regular%20Season&amp;LeagueID=00&amp;PerMode=PerGame&amp;Scope=S&amp;StatCategory=PTS&amp;section=leaders" xr:uid="{209896C1-0DA7-A840-8867-57F228763968}"/>
    <hyperlink ref="W20" r:id="rId215" display="https://www.nba.com/stats/events/?flag=1&amp;CFID=&amp;CFPARAMS=&amp;PlayerID=203081&amp;TeamID=0&amp;GameID=&amp;ContextMeasure=BLK&amp;Season=2021-22&amp;SeasonType=Regular%20Season&amp;LeagueID=00&amp;PerMode=PerGame&amp;Scope=S&amp;StatCategory=PTS&amp;section=leaders" xr:uid="{15B04D25-9982-764D-9368-3BC08D95C051}"/>
    <hyperlink ref="X20" r:id="rId216" display="https://www.nba.com/stats/events/?flag=1&amp;CFID=&amp;CFPARAMS=&amp;PlayerID=203081&amp;TeamID=0&amp;GameID=&amp;ContextMeasure=TOV&amp;Season=2021-22&amp;SeasonType=Regular%20Season&amp;LeagueID=00&amp;PerMode=PerGame&amp;Scope=S&amp;StatCategory=PTS&amp;section=leaders" xr:uid="{35CB8D93-14E4-4A45-9980-8BF75CCA7021}"/>
    <hyperlink ref="D21" r:id="rId217" display="https://www.nba.com/player/1628983/traditional/" xr:uid="{711F8798-4699-4244-9217-6764086BF494}"/>
    <hyperlink ref="H21" r:id="rId218" display="https://www.nba.com/stats/events/?flag=3&amp;CFID=&amp;CFPARAMS=&amp;PlayerID=1628983&amp;TeamID=0&amp;GameID=&amp;ContextMeasure=FGM&amp;Season=2021-22&amp;SeasonType=Regular%20Season&amp;LeagueID=00&amp;PerMode=PerGame&amp;Scope=S&amp;StatCategory=PTS&amp;section=leaders" xr:uid="{FC102A18-E180-C54E-B16E-97B5BD7F8426}"/>
    <hyperlink ref="I21" r:id="rId219" display="https://www.nba.com/stats/events/?flag=3&amp;CFID=&amp;CFPARAMS=&amp;PlayerID=1628983&amp;TeamID=0&amp;GameID=&amp;ContextMeasure=FGA&amp;Season=2021-22&amp;SeasonType=Regular%20Season&amp;LeagueID=00&amp;PerMode=PerGame&amp;Scope=S&amp;StatCategory=PTS&amp;section=leaders" xr:uid="{173F914F-D91E-0D43-8127-26A68D9C709D}"/>
    <hyperlink ref="K21" r:id="rId220" display="https://www.nba.com/stats/events/?flag=3&amp;CFID=&amp;CFPARAMS=&amp;PlayerID=1628983&amp;TeamID=0&amp;GameID=&amp;ContextMeasure=FG3M&amp;Season=2021-22&amp;SeasonType=Regular%20Season&amp;LeagueID=00&amp;PerMode=PerGame&amp;Scope=S&amp;StatCategory=PTS&amp;section=leaders" xr:uid="{99A5E94F-76D7-1D4E-BF7D-400B22203C33}"/>
    <hyperlink ref="L21" r:id="rId221" display="https://www.nba.com/stats/events/?flag=3&amp;CFID=&amp;CFPARAMS=&amp;PlayerID=1628983&amp;TeamID=0&amp;GameID=&amp;ContextMeasure=FG3A&amp;Season=2021-22&amp;SeasonType=Regular%20Season&amp;LeagueID=00&amp;PerMode=PerGame&amp;Scope=S&amp;StatCategory=PTS&amp;section=leaders" xr:uid="{58476610-2547-D54F-98B6-1D45863C9D2A}"/>
    <hyperlink ref="R21" r:id="rId222" display="https://www.nba.com/stats/events/?flag=1&amp;CFID=&amp;CFPARAMS=&amp;PlayerID=1628983&amp;TeamID=0&amp;GameID=&amp;ContextMeasure=OREB&amp;Season=2021-22&amp;SeasonType=Regular%20Season&amp;LeagueID=00&amp;PerMode=PerGame&amp;Scope=S&amp;StatCategory=PTS&amp;section=leaders" xr:uid="{BBF7F44C-FB45-D240-B4D0-53581A2ECBE5}"/>
    <hyperlink ref="S21" r:id="rId223" display="https://www.nba.com/stats/events/?flag=1&amp;CFID=&amp;CFPARAMS=&amp;PlayerID=1628983&amp;TeamID=0&amp;GameID=&amp;ContextMeasure=DREB&amp;Season=2021-22&amp;SeasonType=Regular%20Season&amp;LeagueID=00&amp;PerMode=PerGame&amp;Scope=S&amp;StatCategory=PTS&amp;section=leaders" xr:uid="{84EF0398-6481-3341-88C3-367D8305E7C5}"/>
    <hyperlink ref="T21" r:id="rId224" display="https://www.nba.com/stats/events/?flag=1&amp;CFID=&amp;CFPARAMS=&amp;PlayerID=1628983&amp;TeamID=0&amp;GameID=&amp;ContextMeasure=REB&amp;Season=2021-22&amp;SeasonType=Regular%20Season&amp;LeagueID=00&amp;PerMode=PerGame&amp;Scope=S&amp;StatCategory=PTS&amp;section=leaders" xr:uid="{89EDD60B-AE24-0041-AB9E-1CDA2438A90E}"/>
    <hyperlink ref="U21" r:id="rId225" display="https://www.nba.com/stats/events/?flag=1&amp;CFID=&amp;CFPARAMS=&amp;PlayerID=1628983&amp;TeamID=0&amp;GameID=&amp;ContextMeasure=AST&amp;Season=2021-22&amp;SeasonType=Regular%20Season&amp;LeagueID=00&amp;PerMode=PerGame&amp;Scope=S&amp;StatCategory=PTS&amp;section=leaders" xr:uid="{BD7AE561-A949-DE4E-BAFE-D9DC687DAEF0}"/>
    <hyperlink ref="V21" r:id="rId226" display="https://www.nba.com/stats/events/?flag=1&amp;CFID=&amp;CFPARAMS=&amp;PlayerID=1628983&amp;TeamID=0&amp;GameID=&amp;ContextMeasure=STL&amp;Season=2021-22&amp;SeasonType=Regular%20Season&amp;LeagueID=00&amp;PerMode=PerGame&amp;Scope=S&amp;StatCategory=PTS&amp;section=leaders" xr:uid="{6DC876B0-C9C8-3543-BEDD-94BF3B037CC0}"/>
    <hyperlink ref="W21" r:id="rId227" display="https://www.nba.com/stats/events/?flag=1&amp;CFID=&amp;CFPARAMS=&amp;PlayerID=1628983&amp;TeamID=0&amp;GameID=&amp;ContextMeasure=BLK&amp;Season=2021-22&amp;SeasonType=Regular%20Season&amp;LeagueID=00&amp;PerMode=PerGame&amp;Scope=S&amp;StatCategory=PTS&amp;section=leaders" xr:uid="{102643B1-C68B-3E41-995A-2B8C3142E83C}"/>
    <hyperlink ref="X21" r:id="rId228" display="https://www.nba.com/stats/events/?flag=1&amp;CFID=&amp;CFPARAMS=&amp;PlayerID=1628983&amp;TeamID=0&amp;GameID=&amp;ContextMeasure=TOV&amp;Season=2021-22&amp;SeasonType=Regular%20Season&amp;LeagueID=00&amp;PerMode=PerGame&amp;Scope=S&amp;StatCategory=PTS&amp;section=leaders" xr:uid="{0F566FF8-A8D5-B748-A32C-AB8CA43335C5}"/>
    <hyperlink ref="D22" r:id="rId229" display="https://www.nba.com/player/1627763/traditional/" xr:uid="{4807A592-E850-AE40-8C71-4E77E8AFA939}"/>
    <hyperlink ref="H22" r:id="rId230" display="https://www.nba.com/stats/events/?flag=3&amp;CFID=&amp;CFPARAMS=&amp;PlayerID=1627763&amp;TeamID=0&amp;GameID=&amp;ContextMeasure=FGM&amp;Season=2021-22&amp;SeasonType=Regular%20Season&amp;LeagueID=00&amp;PerMode=PerGame&amp;Scope=S&amp;StatCategory=PTS&amp;section=leaders" xr:uid="{A8D419D9-CED8-1945-8B06-DD3BB2800E73}"/>
    <hyperlink ref="I22" r:id="rId231" display="https://www.nba.com/stats/events/?flag=3&amp;CFID=&amp;CFPARAMS=&amp;PlayerID=1627763&amp;TeamID=0&amp;GameID=&amp;ContextMeasure=FGA&amp;Season=2021-22&amp;SeasonType=Regular%20Season&amp;LeagueID=00&amp;PerMode=PerGame&amp;Scope=S&amp;StatCategory=PTS&amp;section=leaders" xr:uid="{2EE1F7D3-E1B0-BD42-AB3D-97BCB5FF65A7}"/>
    <hyperlink ref="K22" r:id="rId232" display="https://www.nba.com/stats/events/?flag=3&amp;CFID=&amp;CFPARAMS=&amp;PlayerID=1627763&amp;TeamID=0&amp;GameID=&amp;ContextMeasure=FG3M&amp;Season=2021-22&amp;SeasonType=Regular%20Season&amp;LeagueID=00&amp;PerMode=PerGame&amp;Scope=S&amp;StatCategory=PTS&amp;section=leaders" xr:uid="{BE04B4BD-773B-BD45-B602-89DE98CC1CF5}"/>
    <hyperlink ref="L22" r:id="rId233" display="https://www.nba.com/stats/events/?flag=3&amp;CFID=&amp;CFPARAMS=&amp;PlayerID=1627763&amp;TeamID=0&amp;GameID=&amp;ContextMeasure=FG3A&amp;Season=2021-22&amp;SeasonType=Regular%20Season&amp;LeagueID=00&amp;PerMode=PerGame&amp;Scope=S&amp;StatCategory=PTS&amp;section=leaders" xr:uid="{5E2EFD19-576C-0648-A01C-A33E4E37B35E}"/>
    <hyperlink ref="R22" r:id="rId234" display="https://www.nba.com/stats/events/?flag=1&amp;CFID=&amp;CFPARAMS=&amp;PlayerID=1627763&amp;TeamID=0&amp;GameID=&amp;ContextMeasure=OREB&amp;Season=2021-22&amp;SeasonType=Regular%20Season&amp;LeagueID=00&amp;PerMode=PerGame&amp;Scope=S&amp;StatCategory=PTS&amp;section=leaders" xr:uid="{E7101D70-B12B-3444-A2D6-3D0B04D77E30}"/>
    <hyperlink ref="S22" r:id="rId235" display="https://www.nba.com/stats/events/?flag=1&amp;CFID=&amp;CFPARAMS=&amp;PlayerID=1627763&amp;TeamID=0&amp;GameID=&amp;ContextMeasure=DREB&amp;Season=2021-22&amp;SeasonType=Regular%20Season&amp;LeagueID=00&amp;PerMode=PerGame&amp;Scope=S&amp;StatCategory=PTS&amp;section=leaders" xr:uid="{CF5F94CB-FD2E-4945-903F-23DB6A9F7709}"/>
    <hyperlink ref="T22" r:id="rId236" display="https://www.nba.com/stats/events/?flag=1&amp;CFID=&amp;CFPARAMS=&amp;PlayerID=1627763&amp;TeamID=0&amp;GameID=&amp;ContextMeasure=REB&amp;Season=2021-22&amp;SeasonType=Regular%20Season&amp;LeagueID=00&amp;PerMode=PerGame&amp;Scope=S&amp;StatCategory=PTS&amp;section=leaders" xr:uid="{BB8A80DF-8DB3-604C-AAE5-F3E9A25928EA}"/>
    <hyperlink ref="U22" r:id="rId237" display="https://www.nba.com/stats/events/?flag=1&amp;CFID=&amp;CFPARAMS=&amp;PlayerID=1627763&amp;TeamID=0&amp;GameID=&amp;ContextMeasure=AST&amp;Season=2021-22&amp;SeasonType=Regular%20Season&amp;LeagueID=00&amp;PerMode=PerGame&amp;Scope=S&amp;StatCategory=PTS&amp;section=leaders" xr:uid="{B89C3A20-8DE8-F04B-9CC1-66FA932E055B}"/>
    <hyperlink ref="V22" r:id="rId238" display="https://www.nba.com/stats/events/?flag=1&amp;CFID=&amp;CFPARAMS=&amp;PlayerID=1627763&amp;TeamID=0&amp;GameID=&amp;ContextMeasure=STL&amp;Season=2021-22&amp;SeasonType=Regular%20Season&amp;LeagueID=00&amp;PerMode=PerGame&amp;Scope=S&amp;StatCategory=PTS&amp;section=leaders" xr:uid="{8858D8DD-37A4-A34F-8919-47055FF2DCD2}"/>
    <hyperlink ref="W22" r:id="rId239" display="https://www.nba.com/stats/events/?flag=1&amp;CFID=&amp;CFPARAMS=&amp;PlayerID=1627763&amp;TeamID=0&amp;GameID=&amp;ContextMeasure=BLK&amp;Season=2021-22&amp;SeasonType=Regular%20Season&amp;LeagueID=00&amp;PerMode=PerGame&amp;Scope=S&amp;StatCategory=PTS&amp;section=leaders" xr:uid="{189DD7FC-E058-9B4D-82E6-B26E7A421E4D}"/>
    <hyperlink ref="X22" r:id="rId240" display="https://www.nba.com/stats/events/?flag=1&amp;CFID=&amp;CFPARAMS=&amp;PlayerID=1627763&amp;TeamID=0&amp;GameID=&amp;ContextMeasure=TOV&amp;Season=2021-22&amp;SeasonType=Regular%20Season&amp;LeagueID=00&amp;PerMode=PerGame&amp;Scope=S&amp;StatCategory=PTS&amp;section=leaders" xr:uid="{47DB37CA-86D6-F546-8A71-D6DC4EFFA694}"/>
    <hyperlink ref="D23" r:id="rId241" display="https://www.nba.com/player/1628368/traditional/" xr:uid="{E043DD8E-73A2-E34B-823B-0883DA4A9476}"/>
    <hyperlink ref="H23" r:id="rId242" display="https://www.nba.com/stats/events/?flag=3&amp;CFID=&amp;CFPARAMS=&amp;PlayerID=1628368&amp;TeamID=0&amp;GameID=&amp;ContextMeasure=FGM&amp;Season=2021-22&amp;SeasonType=Regular%20Season&amp;LeagueID=00&amp;PerMode=PerGame&amp;Scope=S&amp;StatCategory=PTS&amp;section=leaders" xr:uid="{491ADFED-5CA6-A043-BA0A-DBD5C6AEBE54}"/>
    <hyperlink ref="I23" r:id="rId243" display="https://www.nba.com/stats/events/?flag=3&amp;CFID=&amp;CFPARAMS=&amp;PlayerID=1628368&amp;TeamID=0&amp;GameID=&amp;ContextMeasure=FGA&amp;Season=2021-22&amp;SeasonType=Regular%20Season&amp;LeagueID=00&amp;PerMode=PerGame&amp;Scope=S&amp;StatCategory=PTS&amp;section=leaders" xr:uid="{3D05AD3D-9F88-F549-A1C0-38EE5647D05F}"/>
    <hyperlink ref="K23" r:id="rId244" display="https://www.nba.com/stats/events/?flag=3&amp;CFID=&amp;CFPARAMS=&amp;PlayerID=1628368&amp;TeamID=0&amp;GameID=&amp;ContextMeasure=FG3M&amp;Season=2021-22&amp;SeasonType=Regular%20Season&amp;LeagueID=00&amp;PerMode=PerGame&amp;Scope=S&amp;StatCategory=PTS&amp;section=leaders" xr:uid="{09B96AA9-562C-B345-9AC7-10DEF21A176A}"/>
    <hyperlink ref="L23" r:id="rId245" display="https://www.nba.com/stats/events/?flag=3&amp;CFID=&amp;CFPARAMS=&amp;PlayerID=1628368&amp;TeamID=0&amp;GameID=&amp;ContextMeasure=FG3A&amp;Season=2021-22&amp;SeasonType=Regular%20Season&amp;LeagueID=00&amp;PerMode=PerGame&amp;Scope=S&amp;StatCategory=PTS&amp;section=leaders" xr:uid="{BFF53B31-909A-2544-AD06-E07A20BB5B59}"/>
    <hyperlink ref="R23" r:id="rId246" display="https://www.nba.com/stats/events/?flag=1&amp;CFID=&amp;CFPARAMS=&amp;PlayerID=1628368&amp;TeamID=0&amp;GameID=&amp;ContextMeasure=OREB&amp;Season=2021-22&amp;SeasonType=Regular%20Season&amp;LeagueID=00&amp;PerMode=PerGame&amp;Scope=S&amp;StatCategory=PTS&amp;section=leaders" xr:uid="{82568D25-87FC-4044-8F89-2117985B6DC8}"/>
    <hyperlink ref="S23" r:id="rId247" display="https://www.nba.com/stats/events/?flag=1&amp;CFID=&amp;CFPARAMS=&amp;PlayerID=1628368&amp;TeamID=0&amp;GameID=&amp;ContextMeasure=DREB&amp;Season=2021-22&amp;SeasonType=Regular%20Season&amp;LeagueID=00&amp;PerMode=PerGame&amp;Scope=S&amp;StatCategory=PTS&amp;section=leaders" xr:uid="{50CFFD18-E41D-F74F-A0EC-1325EAE59E3D}"/>
    <hyperlink ref="T23" r:id="rId248" display="https://www.nba.com/stats/events/?flag=1&amp;CFID=&amp;CFPARAMS=&amp;PlayerID=1628368&amp;TeamID=0&amp;GameID=&amp;ContextMeasure=REB&amp;Season=2021-22&amp;SeasonType=Regular%20Season&amp;LeagueID=00&amp;PerMode=PerGame&amp;Scope=S&amp;StatCategory=PTS&amp;section=leaders" xr:uid="{72E042E3-9D2C-6D40-ABCC-57BD8A30AEB4}"/>
    <hyperlink ref="U23" r:id="rId249" display="https://www.nba.com/stats/events/?flag=1&amp;CFID=&amp;CFPARAMS=&amp;PlayerID=1628368&amp;TeamID=0&amp;GameID=&amp;ContextMeasure=AST&amp;Season=2021-22&amp;SeasonType=Regular%20Season&amp;LeagueID=00&amp;PerMode=PerGame&amp;Scope=S&amp;StatCategory=PTS&amp;section=leaders" xr:uid="{A94855A1-9656-9D48-8F0C-F0458A561D52}"/>
    <hyperlink ref="V23" r:id="rId250" display="https://www.nba.com/stats/events/?flag=1&amp;CFID=&amp;CFPARAMS=&amp;PlayerID=1628368&amp;TeamID=0&amp;GameID=&amp;ContextMeasure=STL&amp;Season=2021-22&amp;SeasonType=Regular%20Season&amp;LeagueID=00&amp;PerMode=PerGame&amp;Scope=S&amp;StatCategory=PTS&amp;section=leaders" xr:uid="{05386405-21E2-044F-8C14-CC0321CBA24D}"/>
    <hyperlink ref="W23" r:id="rId251" display="https://www.nba.com/stats/events/?flag=1&amp;CFID=&amp;CFPARAMS=&amp;PlayerID=1628368&amp;TeamID=0&amp;GameID=&amp;ContextMeasure=BLK&amp;Season=2021-22&amp;SeasonType=Regular%20Season&amp;LeagueID=00&amp;PerMode=PerGame&amp;Scope=S&amp;StatCategory=PTS&amp;section=leaders" xr:uid="{ECF0B2D0-E40D-364F-84CC-2806B16CBF6F}"/>
    <hyperlink ref="X23" r:id="rId252" display="https://www.nba.com/stats/events/?flag=1&amp;CFID=&amp;CFPARAMS=&amp;PlayerID=1628368&amp;TeamID=0&amp;GameID=&amp;ContextMeasure=TOV&amp;Season=2021-22&amp;SeasonType=Regular%20Season&amp;LeagueID=00&amp;PerMode=PerGame&amp;Scope=S&amp;StatCategory=PTS&amp;section=leaders" xr:uid="{2CDD3688-C1A1-8345-B919-C1CB2B1D775C}"/>
    <hyperlink ref="D24" r:id="rId253" display="https://www.nba.com/player/1630163/traditional/" xr:uid="{553AC781-BD8B-FA42-B16D-7D42B2AB3C99}"/>
    <hyperlink ref="H24" r:id="rId254" display="https://www.nba.com/stats/events/?flag=3&amp;CFID=&amp;CFPARAMS=&amp;PlayerID=1630163&amp;TeamID=0&amp;GameID=&amp;ContextMeasure=FGM&amp;Season=2021-22&amp;SeasonType=Regular%20Season&amp;LeagueID=00&amp;PerMode=PerGame&amp;Scope=S&amp;StatCategory=PTS&amp;section=leaders" xr:uid="{B8138D4C-6582-D54E-8012-5A88F9E796CD}"/>
    <hyperlink ref="I24" r:id="rId255" display="https://www.nba.com/stats/events/?flag=3&amp;CFID=&amp;CFPARAMS=&amp;PlayerID=1630163&amp;TeamID=0&amp;GameID=&amp;ContextMeasure=FGA&amp;Season=2021-22&amp;SeasonType=Regular%20Season&amp;LeagueID=00&amp;PerMode=PerGame&amp;Scope=S&amp;StatCategory=PTS&amp;section=leaders" xr:uid="{C61698DD-3739-C446-964B-11175AD45B57}"/>
    <hyperlink ref="K24" r:id="rId256" display="https://www.nba.com/stats/events/?flag=3&amp;CFID=&amp;CFPARAMS=&amp;PlayerID=1630163&amp;TeamID=0&amp;GameID=&amp;ContextMeasure=FG3M&amp;Season=2021-22&amp;SeasonType=Regular%20Season&amp;LeagueID=00&amp;PerMode=PerGame&amp;Scope=S&amp;StatCategory=PTS&amp;section=leaders" xr:uid="{10BCDD50-89CB-0D4D-81F5-FC6CD529FE5B}"/>
    <hyperlink ref="L24" r:id="rId257" display="https://www.nba.com/stats/events/?flag=3&amp;CFID=&amp;CFPARAMS=&amp;PlayerID=1630163&amp;TeamID=0&amp;GameID=&amp;ContextMeasure=FG3A&amp;Season=2021-22&amp;SeasonType=Regular%20Season&amp;LeagueID=00&amp;PerMode=PerGame&amp;Scope=S&amp;StatCategory=PTS&amp;section=leaders" xr:uid="{36EB8500-A63F-9247-936E-C9D5E137A7FE}"/>
    <hyperlink ref="R24" r:id="rId258" display="https://www.nba.com/stats/events/?flag=1&amp;CFID=&amp;CFPARAMS=&amp;PlayerID=1630163&amp;TeamID=0&amp;GameID=&amp;ContextMeasure=OREB&amp;Season=2021-22&amp;SeasonType=Regular%20Season&amp;LeagueID=00&amp;PerMode=PerGame&amp;Scope=S&amp;StatCategory=PTS&amp;section=leaders" xr:uid="{5EAA4B93-FCED-F44B-BBD2-8D3C104075AB}"/>
    <hyperlink ref="S24" r:id="rId259" display="https://www.nba.com/stats/events/?flag=1&amp;CFID=&amp;CFPARAMS=&amp;PlayerID=1630163&amp;TeamID=0&amp;GameID=&amp;ContextMeasure=DREB&amp;Season=2021-22&amp;SeasonType=Regular%20Season&amp;LeagueID=00&amp;PerMode=PerGame&amp;Scope=S&amp;StatCategory=PTS&amp;section=leaders" xr:uid="{DD9A5B00-FE63-1E45-B8AE-23AFA8BD916B}"/>
    <hyperlink ref="T24" r:id="rId260" display="https://www.nba.com/stats/events/?flag=1&amp;CFID=&amp;CFPARAMS=&amp;PlayerID=1630163&amp;TeamID=0&amp;GameID=&amp;ContextMeasure=REB&amp;Season=2021-22&amp;SeasonType=Regular%20Season&amp;LeagueID=00&amp;PerMode=PerGame&amp;Scope=S&amp;StatCategory=PTS&amp;section=leaders" xr:uid="{048C6BE3-B606-A445-ADD1-63CE1BB7E30D}"/>
    <hyperlink ref="U24" r:id="rId261" display="https://www.nba.com/stats/events/?flag=1&amp;CFID=&amp;CFPARAMS=&amp;PlayerID=1630163&amp;TeamID=0&amp;GameID=&amp;ContextMeasure=AST&amp;Season=2021-22&amp;SeasonType=Regular%20Season&amp;LeagueID=00&amp;PerMode=PerGame&amp;Scope=S&amp;StatCategory=PTS&amp;section=leaders" xr:uid="{FA0BC31A-23F1-7B4D-847E-D7BDB9851857}"/>
    <hyperlink ref="V24" r:id="rId262" display="https://www.nba.com/stats/events/?flag=1&amp;CFID=&amp;CFPARAMS=&amp;PlayerID=1630163&amp;TeamID=0&amp;GameID=&amp;ContextMeasure=STL&amp;Season=2021-22&amp;SeasonType=Regular%20Season&amp;LeagueID=00&amp;PerMode=PerGame&amp;Scope=S&amp;StatCategory=PTS&amp;section=leaders" xr:uid="{467DD3BF-DD20-7B4F-9E93-304BE74D14F8}"/>
    <hyperlink ref="W24" r:id="rId263" display="https://www.nba.com/stats/events/?flag=1&amp;CFID=&amp;CFPARAMS=&amp;PlayerID=1630163&amp;TeamID=0&amp;GameID=&amp;ContextMeasure=BLK&amp;Season=2021-22&amp;SeasonType=Regular%20Season&amp;LeagueID=00&amp;PerMode=PerGame&amp;Scope=S&amp;StatCategory=PTS&amp;section=leaders" xr:uid="{F39F8EAA-5101-994B-9BBC-98786E142A09}"/>
    <hyperlink ref="X24" r:id="rId264" display="https://www.nba.com/stats/events/?flag=1&amp;CFID=&amp;CFPARAMS=&amp;PlayerID=1630163&amp;TeamID=0&amp;GameID=&amp;ContextMeasure=TOV&amp;Season=2021-22&amp;SeasonType=Regular%20Season&amp;LeagueID=00&amp;PerMode=PerGame&amp;Scope=S&amp;StatCategory=PTS&amp;section=leaders" xr:uid="{A45B68BB-A7AA-3E46-A2C3-F457D87C9E0B}"/>
    <hyperlink ref="D25" r:id="rId265" display="https://www.nba.com/player/1630175/traditional/" xr:uid="{1195081B-A958-6543-BEF5-FBFE5237313F}"/>
    <hyperlink ref="H25" r:id="rId266" display="https://www.nba.com/stats/events/?flag=3&amp;CFID=&amp;CFPARAMS=&amp;PlayerID=1630175&amp;TeamID=0&amp;GameID=&amp;ContextMeasure=FGM&amp;Season=2021-22&amp;SeasonType=Regular%20Season&amp;LeagueID=00&amp;PerMode=PerGame&amp;Scope=S&amp;StatCategory=PTS&amp;section=leaders" xr:uid="{0907D9AF-82B4-BA46-AC53-C2E4868567F2}"/>
    <hyperlink ref="I25" r:id="rId267" display="https://www.nba.com/stats/events/?flag=3&amp;CFID=&amp;CFPARAMS=&amp;PlayerID=1630175&amp;TeamID=0&amp;GameID=&amp;ContextMeasure=FGA&amp;Season=2021-22&amp;SeasonType=Regular%20Season&amp;LeagueID=00&amp;PerMode=PerGame&amp;Scope=S&amp;StatCategory=PTS&amp;section=leaders" xr:uid="{53EC93B3-23E6-D44A-9AB1-8E7175C88CC4}"/>
    <hyperlink ref="K25" r:id="rId268" display="https://www.nba.com/stats/events/?flag=3&amp;CFID=&amp;CFPARAMS=&amp;PlayerID=1630175&amp;TeamID=0&amp;GameID=&amp;ContextMeasure=FG3M&amp;Season=2021-22&amp;SeasonType=Regular%20Season&amp;LeagueID=00&amp;PerMode=PerGame&amp;Scope=S&amp;StatCategory=PTS&amp;section=leaders" xr:uid="{1DF2947B-C4ED-0540-BE59-7A47DB26BDA4}"/>
    <hyperlink ref="L25" r:id="rId269" display="https://www.nba.com/stats/events/?flag=3&amp;CFID=&amp;CFPARAMS=&amp;PlayerID=1630175&amp;TeamID=0&amp;GameID=&amp;ContextMeasure=FG3A&amp;Season=2021-22&amp;SeasonType=Regular%20Season&amp;LeagueID=00&amp;PerMode=PerGame&amp;Scope=S&amp;StatCategory=PTS&amp;section=leaders" xr:uid="{325E5BC0-EDF1-CF4A-B016-9C2852C649A7}"/>
    <hyperlink ref="R25" r:id="rId270" display="https://www.nba.com/stats/events/?flag=1&amp;CFID=&amp;CFPARAMS=&amp;PlayerID=1630175&amp;TeamID=0&amp;GameID=&amp;ContextMeasure=OREB&amp;Season=2021-22&amp;SeasonType=Regular%20Season&amp;LeagueID=00&amp;PerMode=PerGame&amp;Scope=S&amp;StatCategory=PTS&amp;section=leaders" xr:uid="{90D82F60-4B80-C844-BB54-E552AB0D31FE}"/>
    <hyperlink ref="S25" r:id="rId271" display="https://www.nba.com/stats/events/?flag=1&amp;CFID=&amp;CFPARAMS=&amp;PlayerID=1630175&amp;TeamID=0&amp;GameID=&amp;ContextMeasure=DREB&amp;Season=2021-22&amp;SeasonType=Regular%20Season&amp;LeagueID=00&amp;PerMode=PerGame&amp;Scope=S&amp;StatCategory=PTS&amp;section=leaders" xr:uid="{CBFC48D2-1EAF-424D-A8F9-1B82E89EDD8B}"/>
    <hyperlink ref="T25" r:id="rId272" display="https://www.nba.com/stats/events/?flag=1&amp;CFID=&amp;CFPARAMS=&amp;PlayerID=1630175&amp;TeamID=0&amp;GameID=&amp;ContextMeasure=REB&amp;Season=2021-22&amp;SeasonType=Regular%20Season&amp;LeagueID=00&amp;PerMode=PerGame&amp;Scope=S&amp;StatCategory=PTS&amp;section=leaders" xr:uid="{5942B8F6-8CDE-5644-90B9-81EDE1B07612}"/>
    <hyperlink ref="U25" r:id="rId273" display="https://www.nba.com/stats/events/?flag=1&amp;CFID=&amp;CFPARAMS=&amp;PlayerID=1630175&amp;TeamID=0&amp;GameID=&amp;ContextMeasure=AST&amp;Season=2021-22&amp;SeasonType=Regular%20Season&amp;LeagueID=00&amp;PerMode=PerGame&amp;Scope=S&amp;StatCategory=PTS&amp;section=leaders" xr:uid="{21036A5C-4D54-624C-AA35-3DC4A3DCA62F}"/>
    <hyperlink ref="V25" r:id="rId274" display="https://www.nba.com/stats/events/?flag=1&amp;CFID=&amp;CFPARAMS=&amp;PlayerID=1630175&amp;TeamID=0&amp;GameID=&amp;ContextMeasure=STL&amp;Season=2021-22&amp;SeasonType=Regular%20Season&amp;LeagueID=00&amp;PerMode=PerGame&amp;Scope=S&amp;StatCategory=PTS&amp;section=leaders" xr:uid="{99B3CB15-FFFC-184D-BB25-9A847AA7E071}"/>
    <hyperlink ref="W25" r:id="rId275" display="https://www.nba.com/stats/events/?flag=1&amp;CFID=&amp;CFPARAMS=&amp;PlayerID=1630175&amp;TeamID=0&amp;GameID=&amp;ContextMeasure=BLK&amp;Season=2021-22&amp;SeasonType=Regular%20Season&amp;LeagueID=00&amp;PerMode=PerGame&amp;Scope=S&amp;StatCategory=PTS&amp;section=leaders" xr:uid="{6107116F-1260-DC4C-9568-F1B7DBFE50B9}"/>
    <hyperlink ref="X25" r:id="rId276" display="https://www.nba.com/stats/events/?flag=1&amp;CFID=&amp;CFPARAMS=&amp;PlayerID=1630175&amp;TeamID=0&amp;GameID=&amp;ContextMeasure=TOV&amp;Season=2021-22&amp;SeasonType=Regular%20Season&amp;LeagueID=00&amp;PerMode=PerGame&amp;Scope=S&amp;StatCategory=PTS&amp;section=leaders" xr:uid="{6A678018-F195-034E-AA1F-5175B811B338}"/>
    <hyperlink ref="D26" r:id="rId277" display="https://www.nba.com/player/1627832/traditional/" xr:uid="{4D64D316-D77F-674E-99C1-DEFB8BE4BC5F}"/>
    <hyperlink ref="H26" r:id="rId278" display="https://www.nba.com/stats/events/?flag=3&amp;CFID=&amp;CFPARAMS=&amp;PlayerID=1627832&amp;TeamID=0&amp;GameID=&amp;ContextMeasure=FGM&amp;Season=2021-22&amp;SeasonType=Regular%20Season&amp;LeagueID=00&amp;PerMode=PerGame&amp;Scope=S&amp;StatCategory=PTS&amp;section=leaders" xr:uid="{6C9B9509-6FC1-A14B-A413-E5CB4EB49A68}"/>
    <hyperlink ref="I26" r:id="rId279" display="https://www.nba.com/stats/events/?flag=3&amp;CFID=&amp;CFPARAMS=&amp;PlayerID=1627832&amp;TeamID=0&amp;GameID=&amp;ContextMeasure=FGA&amp;Season=2021-22&amp;SeasonType=Regular%20Season&amp;LeagueID=00&amp;PerMode=PerGame&amp;Scope=S&amp;StatCategory=PTS&amp;section=leaders" xr:uid="{E87C118C-D5F5-1148-B338-69372D0FD713}"/>
    <hyperlink ref="K26" r:id="rId280" display="https://www.nba.com/stats/events/?flag=3&amp;CFID=&amp;CFPARAMS=&amp;PlayerID=1627832&amp;TeamID=0&amp;GameID=&amp;ContextMeasure=FG3M&amp;Season=2021-22&amp;SeasonType=Regular%20Season&amp;LeagueID=00&amp;PerMode=PerGame&amp;Scope=S&amp;StatCategory=PTS&amp;section=leaders" xr:uid="{DAED220E-BDE6-914C-8212-971F1C2B618B}"/>
    <hyperlink ref="L26" r:id="rId281" display="https://www.nba.com/stats/events/?flag=3&amp;CFID=&amp;CFPARAMS=&amp;PlayerID=1627832&amp;TeamID=0&amp;GameID=&amp;ContextMeasure=FG3A&amp;Season=2021-22&amp;SeasonType=Regular%20Season&amp;LeagueID=00&amp;PerMode=PerGame&amp;Scope=S&amp;StatCategory=PTS&amp;section=leaders" xr:uid="{E002F204-C2DA-1148-8724-4DF607441BC1}"/>
    <hyperlink ref="R26" r:id="rId282" display="https://www.nba.com/stats/events/?flag=1&amp;CFID=&amp;CFPARAMS=&amp;PlayerID=1627832&amp;TeamID=0&amp;GameID=&amp;ContextMeasure=OREB&amp;Season=2021-22&amp;SeasonType=Regular%20Season&amp;LeagueID=00&amp;PerMode=PerGame&amp;Scope=S&amp;StatCategory=PTS&amp;section=leaders" xr:uid="{32848BE7-2D11-744B-872E-1E1833898259}"/>
    <hyperlink ref="S26" r:id="rId283" display="https://www.nba.com/stats/events/?flag=1&amp;CFID=&amp;CFPARAMS=&amp;PlayerID=1627832&amp;TeamID=0&amp;GameID=&amp;ContextMeasure=DREB&amp;Season=2021-22&amp;SeasonType=Regular%20Season&amp;LeagueID=00&amp;PerMode=PerGame&amp;Scope=S&amp;StatCategory=PTS&amp;section=leaders" xr:uid="{B1F00A8C-5AE9-AB4A-B8AA-C896CB51FD66}"/>
    <hyperlink ref="T26" r:id="rId284" display="https://www.nba.com/stats/events/?flag=1&amp;CFID=&amp;CFPARAMS=&amp;PlayerID=1627832&amp;TeamID=0&amp;GameID=&amp;ContextMeasure=REB&amp;Season=2021-22&amp;SeasonType=Regular%20Season&amp;LeagueID=00&amp;PerMode=PerGame&amp;Scope=S&amp;StatCategory=PTS&amp;section=leaders" xr:uid="{EAC19DB1-B1AB-1D4D-ADDD-4A2CF451619D}"/>
    <hyperlink ref="U26" r:id="rId285" display="https://www.nba.com/stats/events/?flag=1&amp;CFID=&amp;CFPARAMS=&amp;PlayerID=1627832&amp;TeamID=0&amp;GameID=&amp;ContextMeasure=AST&amp;Season=2021-22&amp;SeasonType=Regular%20Season&amp;LeagueID=00&amp;PerMode=PerGame&amp;Scope=S&amp;StatCategory=PTS&amp;section=leaders" xr:uid="{48E9A98A-D8FA-7045-82B6-EDD7B84CCC9C}"/>
    <hyperlink ref="V26" r:id="rId286" display="https://www.nba.com/stats/events/?flag=1&amp;CFID=&amp;CFPARAMS=&amp;PlayerID=1627832&amp;TeamID=0&amp;GameID=&amp;ContextMeasure=STL&amp;Season=2021-22&amp;SeasonType=Regular%20Season&amp;LeagueID=00&amp;PerMode=PerGame&amp;Scope=S&amp;StatCategory=PTS&amp;section=leaders" xr:uid="{2F0E62E0-60D1-2D4D-857D-A7656BF22C88}"/>
    <hyperlink ref="W26" r:id="rId287" display="https://www.nba.com/stats/events/?flag=1&amp;CFID=&amp;CFPARAMS=&amp;PlayerID=1627832&amp;TeamID=0&amp;GameID=&amp;ContextMeasure=BLK&amp;Season=2021-22&amp;SeasonType=Regular%20Season&amp;LeagueID=00&amp;PerMode=PerGame&amp;Scope=S&amp;StatCategory=PTS&amp;section=leaders" xr:uid="{02AD9CAE-B72F-E74F-BE90-489EF7CB042A}"/>
    <hyperlink ref="X26" r:id="rId288" display="https://www.nba.com/stats/events/?flag=1&amp;CFID=&amp;CFPARAMS=&amp;PlayerID=1627832&amp;TeamID=0&amp;GameID=&amp;ContextMeasure=TOV&amp;Season=2021-22&amp;SeasonType=Regular%20Season&amp;LeagueID=00&amp;PerMode=PerGame&amp;Scope=S&amp;StatCategory=PTS&amp;section=leaders" xr:uid="{55B339FF-400A-A14F-9BEB-297CC03DA8B0}"/>
    <hyperlink ref="D27" r:id="rId289" display="https://www.nba.com/player/203924/traditional/" xr:uid="{A53F73D8-4458-5E45-865C-60372E4FA55F}"/>
    <hyperlink ref="H27" r:id="rId290" display="https://www.nba.com/stats/events/?flag=3&amp;CFID=&amp;CFPARAMS=&amp;PlayerID=203924&amp;TeamID=0&amp;GameID=&amp;ContextMeasure=FGM&amp;Season=2021-22&amp;SeasonType=Regular%20Season&amp;LeagueID=00&amp;PerMode=PerGame&amp;Scope=S&amp;StatCategory=PTS&amp;section=leaders" xr:uid="{64D06D2E-8CEF-1D43-92B0-C267523A96BA}"/>
    <hyperlink ref="I27" r:id="rId291" display="https://www.nba.com/stats/events/?flag=3&amp;CFID=&amp;CFPARAMS=&amp;PlayerID=203924&amp;TeamID=0&amp;GameID=&amp;ContextMeasure=FGA&amp;Season=2021-22&amp;SeasonType=Regular%20Season&amp;LeagueID=00&amp;PerMode=PerGame&amp;Scope=S&amp;StatCategory=PTS&amp;section=leaders" xr:uid="{DC695958-7F95-4044-8E71-8DB0FBCBD34E}"/>
    <hyperlink ref="K27" r:id="rId292" display="https://www.nba.com/stats/events/?flag=3&amp;CFID=&amp;CFPARAMS=&amp;PlayerID=203924&amp;TeamID=0&amp;GameID=&amp;ContextMeasure=FG3M&amp;Season=2021-22&amp;SeasonType=Regular%20Season&amp;LeagueID=00&amp;PerMode=PerGame&amp;Scope=S&amp;StatCategory=PTS&amp;section=leaders" xr:uid="{B99D4F46-6DBF-E040-A9C3-232D73EB7B7B}"/>
    <hyperlink ref="L27" r:id="rId293" display="https://www.nba.com/stats/events/?flag=3&amp;CFID=&amp;CFPARAMS=&amp;PlayerID=203924&amp;TeamID=0&amp;GameID=&amp;ContextMeasure=FG3A&amp;Season=2021-22&amp;SeasonType=Regular%20Season&amp;LeagueID=00&amp;PerMode=PerGame&amp;Scope=S&amp;StatCategory=PTS&amp;section=leaders" xr:uid="{87684D0E-A542-414B-A566-7B84D16B73AA}"/>
    <hyperlink ref="R27" r:id="rId294" display="https://www.nba.com/stats/events/?flag=1&amp;CFID=&amp;CFPARAMS=&amp;PlayerID=203924&amp;TeamID=0&amp;GameID=&amp;ContextMeasure=OREB&amp;Season=2021-22&amp;SeasonType=Regular%20Season&amp;LeagueID=00&amp;PerMode=PerGame&amp;Scope=S&amp;StatCategory=PTS&amp;section=leaders" xr:uid="{CF915C8F-DEFD-464F-AF98-C74A0C5C9A02}"/>
    <hyperlink ref="S27" r:id="rId295" display="https://www.nba.com/stats/events/?flag=1&amp;CFID=&amp;CFPARAMS=&amp;PlayerID=203924&amp;TeamID=0&amp;GameID=&amp;ContextMeasure=DREB&amp;Season=2021-22&amp;SeasonType=Regular%20Season&amp;LeagueID=00&amp;PerMode=PerGame&amp;Scope=S&amp;StatCategory=PTS&amp;section=leaders" xr:uid="{4391195D-E547-1C47-8B41-F9694EC51E5B}"/>
    <hyperlink ref="T27" r:id="rId296" display="https://www.nba.com/stats/events/?flag=1&amp;CFID=&amp;CFPARAMS=&amp;PlayerID=203924&amp;TeamID=0&amp;GameID=&amp;ContextMeasure=REB&amp;Season=2021-22&amp;SeasonType=Regular%20Season&amp;LeagueID=00&amp;PerMode=PerGame&amp;Scope=S&amp;StatCategory=PTS&amp;section=leaders" xr:uid="{8E34EF58-6F53-FD4A-B114-2C444868A4F7}"/>
    <hyperlink ref="U27" r:id="rId297" display="https://www.nba.com/stats/events/?flag=1&amp;CFID=&amp;CFPARAMS=&amp;PlayerID=203924&amp;TeamID=0&amp;GameID=&amp;ContextMeasure=AST&amp;Season=2021-22&amp;SeasonType=Regular%20Season&amp;LeagueID=00&amp;PerMode=PerGame&amp;Scope=S&amp;StatCategory=PTS&amp;section=leaders" xr:uid="{8116D759-83C8-7B48-B0AD-577B926DD321}"/>
    <hyperlink ref="V27" r:id="rId298" display="https://www.nba.com/stats/events/?flag=1&amp;CFID=&amp;CFPARAMS=&amp;PlayerID=203924&amp;TeamID=0&amp;GameID=&amp;ContextMeasure=STL&amp;Season=2021-22&amp;SeasonType=Regular%20Season&amp;LeagueID=00&amp;PerMode=PerGame&amp;Scope=S&amp;StatCategory=PTS&amp;section=leaders" xr:uid="{09D6D2E7-A77E-A947-9675-80AE71D4EFCC}"/>
    <hyperlink ref="W27" r:id="rId299" display="https://www.nba.com/stats/events/?flag=1&amp;CFID=&amp;CFPARAMS=&amp;PlayerID=203924&amp;TeamID=0&amp;GameID=&amp;ContextMeasure=BLK&amp;Season=2021-22&amp;SeasonType=Regular%20Season&amp;LeagueID=00&amp;PerMode=PerGame&amp;Scope=S&amp;StatCategory=PTS&amp;section=leaders" xr:uid="{27B915DB-055D-7A43-B270-7765A8ACEF98}"/>
    <hyperlink ref="X27" r:id="rId300" display="https://www.nba.com/stats/events/?flag=1&amp;CFID=&amp;CFPARAMS=&amp;PlayerID=203924&amp;TeamID=0&amp;GameID=&amp;ContextMeasure=TOV&amp;Season=2021-22&amp;SeasonType=Regular%20Season&amp;LeagueID=00&amp;PerMode=PerGame&amp;Scope=S&amp;StatCategory=PTS&amp;section=leaders" xr:uid="{35878FEB-BB41-5C45-80BE-09B8CF565496}"/>
    <hyperlink ref="D28" r:id="rId301" display="https://www.nba.com/player/203944/traditional/" xr:uid="{29DD439D-E606-3243-A486-AFC8CBF41019}"/>
    <hyperlink ref="H28" r:id="rId302" display="https://www.nba.com/stats/events/?flag=3&amp;CFID=&amp;CFPARAMS=&amp;PlayerID=203944&amp;TeamID=0&amp;GameID=&amp;ContextMeasure=FGM&amp;Season=2021-22&amp;SeasonType=Regular%20Season&amp;LeagueID=00&amp;PerMode=PerGame&amp;Scope=S&amp;StatCategory=PTS&amp;section=leaders" xr:uid="{1093E92D-00A6-E94A-8A1A-AA7BA97D21EC}"/>
    <hyperlink ref="I28" r:id="rId303" display="https://www.nba.com/stats/events/?flag=3&amp;CFID=&amp;CFPARAMS=&amp;PlayerID=203944&amp;TeamID=0&amp;GameID=&amp;ContextMeasure=FGA&amp;Season=2021-22&amp;SeasonType=Regular%20Season&amp;LeagueID=00&amp;PerMode=PerGame&amp;Scope=S&amp;StatCategory=PTS&amp;section=leaders" xr:uid="{85AF29E7-233B-7B4C-B7AA-01222F9C56E3}"/>
    <hyperlink ref="K28" r:id="rId304" display="https://www.nba.com/stats/events/?flag=3&amp;CFID=&amp;CFPARAMS=&amp;PlayerID=203944&amp;TeamID=0&amp;GameID=&amp;ContextMeasure=FG3M&amp;Season=2021-22&amp;SeasonType=Regular%20Season&amp;LeagueID=00&amp;PerMode=PerGame&amp;Scope=S&amp;StatCategory=PTS&amp;section=leaders" xr:uid="{E5C4B5B1-B088-AB49-A01B-6E0FA4C34F24}"/>
    <hyperlink ref="L28" r:id="rId305" display="https://www.nba.com/stats/events/?flag=3&amp;CFID=&amp;CFPARAMS=&amp;PlayerID=203944&amp;TeamID=0&amp;GameID=&amp;ContextMeasure=FG3A&amp;Season=2021-22&amp;SeasonType=Regular%20Season&amp;LeagueID=00&amp;PerMode=PerGame&amp;Scope=S&amp;StatCategory=PTS&amp;section=leaders" xr:uid="{210555F5-52E1-5540-B0A3-D918C376D0F6}"/>
    <hyperlink ref="R28" r:id="rId306" display="https://www.nba.com/stats/events/?flag=1&amp;CFID=&amp;CFPARAMS=&amp;PlayerID=203944&amp;TeamID=0&amp;GameID=&amp;ContextMeasure=OREB&amp;Season=2021-22&amp;SeasonType=Regular%20Season&amp;LeagueID=00&amp;PerMode=PerGame&amp;Scope=S&amp;StatCategory=PTS&amp;section=leaders" xr:uid="{782D10CC-624D-BF48-AF27-13EFEEE9C00E}"/>
    <hyperlink ref="S28" r:id="rId307" display="https://www.nba.com/stats/events/?flag=1&amp;CFID=&amp;CFPARAMS=&amp;PlayerID=203944&amp;TeamID=0&amp;GameID=&amp;ContextMeasure=DREB&amp;Season=2021-22&amp;SeasonType=Regular%20Season&amp;LeagueID=00&amp;PerMode=PerGame&amp;Scope=S&amp;StatCategory=PTS&amp;section=leaders" xr:uid="{64574FAF-4E44-B44D-846C-2DD5CD6FCE82}"/>
    <hyperlink ref="T28" r:id="rId308" display="https://www.nba.com/stats/events/?flag=1&amp;CFID=&amp;CFPARAMS=&amp;PlayerID=203944&amp;TeamID=0&amp;GameID=&amp;ContextMeasure=REB&amp;Season=2021-22&amp;SeasonType=Regular%20Season&amp;LeagueID=00&amp;PerMode=PerGame&amp;Scope=S&amp;StatCategory=PTS&amp;section=leaders" xr:uid="{D0B35FF4-95CB-0642-B6C0-D4C94BCBCFF0}"/>
    <hyperlink ref="U28" r:id="rId309" display="https://www.nba.com/stats/events/?flag=1&amp;CFID=&amp;CFPARAMS=&amp;PlayerID=203944&amp;TeamID=0&amp;GameID=&amp;ContextMeasure=AST&amp;Season=2021-22&amp;SeasonType=Regular%20Season&amp;LeagueID=00&amp;PerMode=PerGame&amp;Scope=S&amp;StatCategory=PTS&amp;section=leaders" xr:uid="{FE5D1E88-F1A5-4F44-9FF8-1E4328FAFB29}"/>
    <hyperlink ref="V28" r:id="rId310" display="https://www.nba.com/stats/events/?flag=1&amp;CFID=&amp;CFPARAMS=&amp;PlayerID=203944&amp;TeamID=0&amp;GameID=&amp;ContextMeasure=STL&amp;Season=2021-22&amp;SeasonType=Regular%20Season&amp;LeagueID=00&amp;PerMode=PerGame&amp;Scope=S&amp;StatCategory=PTS&amp;section=leaders" xr:uid="{91B09E52-D602-6C41-A276-80A82DF279FC}"/>
    <hyperlink ref="W28" r:id="rId311" display="https://www.nba.com/stats/events/?flag=1&amp;CFID=&amp;CFPARAMS=&amp;PlayerID=203944&amp;TeamID=0&amp;GameID=&amp;ContextMeasure=BLK&amp;Season=2021-22&amp;SeasonType=Regular%20Season&amp;LeagueID=00&amp;PerMode=PerGame&amp;Scope=S&amp;StatCategory=PTS&amp;section=leaders" xr:uid="{891D0645-8A2D-5748-A50E-B6FA5D42E4A3}"/>
    <hyperlink ref="X28" r:id="rId312" display="https://www.nba.com/stats/events/?flag=1&amp;CFID=&amp;CFPARAMS=&amp;PlayerID=203944&amp;TeamID=0&amp;GameID=&amp;ContextMeasure=TOV&amp;Season=2021-22&amp;SeasonType=Regular%20Season&amp;LeagueID=00&amp;PerMode=PerGame&amp;Scope=S&amp;StatCategory=PTS&amp;section=leaders" xr:uid="{D89EB798-3470-3B46-8A06-DADD5A0E9AA6}"/>
    <hyperlink ref="D29" r:id="rId313" display="https://www.nba.com/player/1627749/traditional/" xr:uid="{2EED77B3-69EA-9146-BC9E-4996C0F3A320}"/>
    <hyperlink ref="H29" r:id="rId314" display="https://www.nba.com/stats/events/?flag=3&amp;CFID=&amp;CFPARAMS=&amp;PlayerID=1627749&amp;TeamID=0&amp;GameID=&amp;ContextMeasure=FGM&amp;Season=2021-22&amp;SeasonType=Regular%20Season&amp;LeagueID=00&amp;PerMode=PerGame&amp;Scope=S&amp;StatCategory=PTS&amp;section=leaders" xr:uid="{00AA0179-63F3-D342-90E6-87A5F21152BD}"/>
    <hyperlink ref="I29" r:id="rId315" display="https://www.nba.com/stats/events/?flag=3&amp;CFID=&amp;CFPARAMS=&amp;PlayerID=1627749&amp;TeamID=0&amp;GameID=&amp;ContextMeasure=FGA&amp;Season=2021-22&amp;SeasonType=Regular%20Season&amp;LeagueID=00&amp;PerMode=PerGame&amp;Scope=S&amp;StatCategory=PTS&amp;section=leaders" xr:uid="{8493B2F0-2117-D449-8867-D8CF13E1CD90}"/>
    <hyperlink ref="K29" r:id="rId316" display="https://www.nba.com/stats/events/?flag=3&amp;CFID=&amp;CFPARAMS=&amp;PlayerID=1627749&amp;TeamID=0&amp;GameID=&amp;ContextMeasure=FG3M&amp;Season=2021-22&amp;SeasonType=Regular%20Season&amp;LeagueID=00&amp;PerMode=PerGame&amp;Scope=S&amp;StatCategory=PTS&amp;section=leaders" xr:uid="{6DB3F46E-DF84-9144-B064-0FAB879ABAB6}"/>
    <hyperlink ref="L29" r:id="rId317" display="https://www.nba.com/stats/events/?flag=3&amp;CFID=&amp;CFPARAMS=&amp;PlayerID=1627749&amp;TeamID=0&amp;GameID=&amp;ContextMeasure=FG3A&amp;Season=2021-22&amp;SeasonType=Regular%20Season&amp;LeagueID=00&amp;PerMode=PerGame&amp;Scope=S&amp;StatCategory=PTS&amp;section=leaders" xr:uid="{0475CDB1-CB5F-2D42-BBE9-7AB0E32F170A}"/>
    <hyperlink ref="R29" r:id="rId318" display="https://www.nba.com/stats/events/?flag=1&amp;CFID=&amp;CFPARAMS=&amp;PlayerID=1627749&amp;TeamID=0&amp;GameID=&amp;ContextMeasure=OREB&amp;Season=2021-22&amp;SeasonType=Regular%20Season&amp;LeagueID=00&amp;PerMode=PerGame&amp;Scope=S&amp;StatCategory=PTS&amp;section=leaders" xr:uid="{253F6785-05A4-5343-BA7E-B4546AD0AC53}"/>
    <hyperlink ref="S29" r:id="rId319" display="https://www.nba.com/stats/events/?flag=1&amp;CFID=&amp;CFPARAMS=&amp;PlayerID=1627749&amp;TeamID=0&amp;GameID=&amp;ContextMeasure=DREB&amp;Season=2021-22&amp;SeasonType=Regular%20Season&amp;LeagueID=00&amp;PerMode=PerGame&amp;Scope=S&amp;StatCategory=PTS&amp;section=leaders" xr:uid="{9618B3A6-B0C1-874A-9E4E-3D2994FF1B25}"/>
    <hyperlink ref="T29" r:id="rId320" display="https://www.nba.com/stats/events/?flag=1&amp;CFID=&amp;CFPARAMS=&amp;PlayerID=1627749&amp;TeamID=0&amp;GameID=&amp;ContextMeasure=REB&amp;Season=2021-22&amp;SeasonType=Regular%20Season&amp;LeagueID=00&amp;PerMode=PerGame&amp;Scope=S&amp;StatCategory=PTS&amp;section=leaders" xr:uid="{85B5A50F-AE2F-064E-998C-10FA575E83AA}"/>
    <hyperlink ref="U29" r:id="rId321" display="https://www.nba.com/stats/events/?flag=1&amp;CFID=&amp;CFPARAMS=&amp;PlayerID=1627749&amp;TeamID=0&amp;GameID=&amp;ContextMeasure=AST&amp;Season=2021-22&amp;SeasonType=Regular%20Season&amp;LeagueID=00&amp;PerMode=PerGame&amp;Scope=S&amp;StatCategory=PTS&amp;section=leaders" xr:uid="{8B634B61-9B2B-784C-84C3-7AEBA57F0243}"/>
    <hyperlink ref="V29" r:id="rId322" display="https://www.nba.com/stats/events/?flag=1&amp;CFID=&amp;CFPARAMS=&amp;PlayerID=1627749&amp;TeamID=0&amp;GameID=&amp;ContextMeasure=STL&amp;Season=2021-22&amp;SeasonType=Regular%20Season&amp;LeagueID=00&amp;PerMode=PerGame&amp;Scope=S&amp;StatCategory=PTS&amp;section=leaders" xr:uid="{B8CD51B0-B926-454E-8BA6-8A74C440FB4D}"/>
    <hyperlink ref="W29" r:id="rId323" display="https://www.nba.com/stats/events/?flag=1&amp;CFID=&amp;CFPARAMS=&amp;PlayerID=1627749&amp;TeamID=0&amp;GameID=&amp;ContextMeasure=BLK&amp;Season=2021-22&amp;SeasonType=Regular%20Season&amp;LeagueID=00&amp;PerMode=PerGame&amp;Scope=S&amp;StatCategory=PTS&amp;section=leaders" xr:uid="{A8E8BD8F-6C02-8C4C-BE97-58DA8280D763}"/>
    <hyperlink ref="X29" r:id="rId324" display="https://www.nba.com/stats/events/?flag=1&amp;CFID=&amp;CFPARAMS=&amp;PlayerID=1627749&amp;TeamID=0&amp;GameID=&amp;ContextMeasure=TOV&amp;Season=2021-22&amp;SeasonType=Regular%20Season&amp;LeagueID=00&amp;PerMode=PerGame&amp;Scope=S&amp;StatCategory=PTS&amp;section=leaders" xr:uid="{E9B435CC-ECD5-9148-AD78-5ABAB5CECBFB}"/>
    <hyperlink ref="D30" r:id="rId325" display="https://www.nba.com/player/1629636/traditional/" xr:uid="{A5EBACD2-43B1-3449-A829-11F0B5ACF5C6}"/>
    <hyperlink ref="H30" r:id="rId326" display="https://www.nba.com/stats/events/?flag=3&amp;CFID=&amp;CFPARAMS=&amp;PlayerID=1629636&amp;TeamID=0&amp;GameID=&amp;ContextMeasure=FGM&amp;Season=2021-22&amp;SeasonType=Regular%20Season&amp;LeagueID=00&amp;PerMode=PerGame&amp;Scope=S&amp;StatCategory=PTS&amp;section=leaders" xr:uid="{4BD62166-E60C-7843-8A70-152FDB8A93A4}"/>
    <hyperlink ref="I30" r:id="rId327" display="https://www.nba.com/stats/events/?flag=3&amp;CFID=&amp;CFPARAMS=&amp;PlayerID=1629636&amp;TeamID=0&amp;GameID=&amp;ContextMeasure=FGA&amp;Season=2021-22&amp;SeasonType=Regular%20Season&amp;LeagueID=00&amp;PerMode=PerGame&amp;Scope=S&amp;StatCategory=PTS&amp;section=leaders" xr:uid="{0934BD73-4033-1F4E-A6F7-1BA7580D9048}"/>
    <hyperlink ref="K30" r:id="rId328" display="https://www.nba.com/stats/events/?flag=3&amp;CFID=&amp;CFPARAMS=&amp;PlayerID=1629636&amp;TeamID=0&amp;GameID=&amp;ContextMeasure=FG3M&amp;Season=2021-22&amp;SeasonType=Regular%20Season&amp;LeagueID=00&amp;PerMode=PerGame&amp;Scope=S&amp;StatCategory=PTS&amp;section=leaders" xr:uid="{E9DBFDEF-64D2-9743-A460-183ACB4CE52C}"/>
    <hyperlink ref="L30" r:id="rId329" display="https://www.nba.com/stats/events/?flag=3&amp;CFID=&amp;CFPARAMS=&amp;PlayerID=1629636&amp;TeamID=0&amp;GameID=&amp;ContextMeasure=FG3A&amp;Season=2021-22&amp;SeasonType=Regular%20Season&amp;LeagueID=00&amp;PerMode=PerGame&amp;Scope=S&amp;StatCategory=PTS&amp;section=leaders" xr:uid="{F94338E5-38BA-C542-BCEA-D79C48C42F1A}"/>
    <hyperlink ref="R30" r:id="rId330" display="https://www.nba.com/stats/events/?flag=1&amp;CFID=&amp;CFPARAMS=&amp;PlayerID=1629636&amp;TeamID=0&amp;GameID=&amp;ContextMeasure=OREB&amp;Season=2021-22&amp;SeasonType=Regular%20Season&amp;LeagueID=00&amp;PerMode=PerGame&amp;Scope=S&amp;StatCategory=PTS&amp;section=leaders" xr:uid="{706BF75D-C457-6149-BF5F-00A5CAA66CBA}"/>
    <hyperlink ref="S30" r:id="rId331" display="https://www.nba.com/stats/events/?flag=1&amp;CFID=&amp;CFPARAMS=&amp;PlayerID=1629636&amp;TeamID=0&amp;GameID=&amp;ContextMeasure=DREB&amp;Season=2021-22&amp;SeasonType=Regular%20Season&amp;LeagueID=00&amp;PerMode=PerGame&amp;Scope=S&amp;StatCategory=PTS&amp;section=leaders" xr:uid="{4049E840-E8C6-7944-B57C-04E43F40E11D}"/>
    <hyperlink ref="T30" r:id="rId332" display="https://www.nba.com/stats/events/?flag=1&amp;CFID=&amp;CFPARAMS=&amp;PlayerID=1629636&amp;TeamID=0&amp;GameID=&amp;ContextMeasure=REB&amp;Season=2021-22&amp;SeasonType=Regular%20Season&amp;LeagueID=00&amp;PerMode=PerGame&amp;Scope=S&amp;StatCategory=PTS&amp;section=leaders" xr:uid="{B13C50A0-E514-7449-AC1B-904C3AE47B09}"/>
    <hyperlink ref="U30" r:id="rId333" display="https://www.nba.com/stats/events/?flag=1&amp;CFID=&amp;CFPARAMS=&amp;PlayerID=1629636&amp;TeamID=0&amp;GameID=&amp;ContextMeasure=AST&amp;Season=2021-22&amp;SeasonType=Regular%20Season&amp;LeagueID=00&amp;PerMode=PerGame&amp;Scope=S&amp;StatCategory=PTS&amp;section=leaders" xr:uid="{E12E31B9-3CEF-9843-A9A2-8A057D66FE0D}"/>
    <hyperlink ref="V30" r:id="rId334" display="https://www.nba.com/stats/events/?flag=1&amp;CFID=&amp;CFPARAMS=&amp;PlayerID=1629636&amp;TeamID=0&amp;GameID=&amp;ContextMeasure=STL&amp;Season=2021-22&amp;SeasonType=Regular%20Season&amp;LeagueID=00&amp;PerMode=PerGame&amp;Scope=S&amp;StatCategory=PTS&amp;section=leaders" xr:uid="{C95FF40E-614B-1544-9131-CF4F2274E85F}"/>
    <hyperlink ref="W30" r:id="rId335" display="https://www.nba.com/stats/events/?flag=1&amp;CFID=&amp;CFPARAMS=&amp;PlayerID=1629636&amp;TeamID=0&amp;GameID=&amp;ContextMeasure=BLK&amp;Season=2021-22&amp;SeasonType=Regular%20Season&amp;LeagueID=00&amp;PerMode=PerGame&amp;Scope=S&amp;StatCategory=PTS&amp;section=leaders" xr:uid="{81865057-B3CB-ED49-B08D-8B87A51D7D42}"/>
    <hyperlink ref="X30" r:id="rId336" display="https://www.nba.com/stats/events/?flag=1&amp;CFID=&amp;CFPARAMS=&amp;PlayerID=1629636&amp;TeamID=0&amp;GameID=&amp;ContextMeasure=TOV&amp;Season=2021-22&amp;SeasonType=Regular%20Season&amp;LeagueID=00&amp;PerMode=PerGame&amp;Scope=S&amp;StatCategory=PTS&amp;section=leaders" xr:uid="{4A9062BC-C4B0-8F40-A7B4-85BEAEC12E5D}"/>
    <hyperlink ref="D31" r:id="rId337" display="https://www.nba.com/player/1630178/traditional/" xr:uid="{CDC8527D-B0A2-DC45-93AF-F25799904C89}"/>
    <hyperlink ref="H31" r:id="rId338" display="https://www.nba.com/stats/events/?flag=3&amp;CFID=&amp;CFPARAMS=&amp;PlayerID=1630178&amp;TeamID=0&amp;GameID=&amp;ContextMeasure=FGM&amp;Season=2021-22&amp;SeasonType=Regular%20Season&amp;LeagueID=00&amp;PerMode=PerGame&amp;Scope=S&amp;StatCategory=PTS&amp;section=leaders" xr:uid="{98FE8FDF-D054-A945-B2F2-7D05671DE2D6}"/>
    <hyperlink ref="I31" r:id="rId339" display="https://www.nba.com/stats/events/?flag=3&amp;CFID=&amp;CFPARAMS=&amp;PlayerID=1630178&amp;TeamID=0&amp;GameID=&amp;ContextMeasure=FGA&amp;Season=2021-22&amp;SeasonType=Regular%20Season&amp;LeagueID=00&amp;PerMode=PerGame&amp;Scope=S&amp;StatCategory=PTS&amp;section=leaders" xr:uid="{3FD223A7-67AE-1A40-A03B-85EA550D5682}"/>
    <hyperlink ref="K31" r:id="rId340" display="https://www.nba.com/stats/events/?flag=3&amp;CFID=&amp;CFPARAMS=&amp;PlayerID=1630178&amp;TeamID=0&amp;GameID=&amp;ContextMeasure=FG3M&amp;Season=2021-22&amp;SeasonType=Regular%20Season&amp;LeagueID=00&amp;PerMode=PerGame&amp;Scope=S&amp;StatCategory=PTS&amp;section=leaders" xr:uid="{3EF5B50A-DE88-3840-9F1E-53CCD5B0CBA6}"/>
    <hyperlink ref="L31" r:id="rId341" display="https://www.nba.com/stats/events/?flag=3&amp;CFID=&amp;CFPARAMS=&amp;PlayerID=1630178&amp;TeamID=0&amp;GameID=&amp;ContextMeasure=FG3A&amp;Season=2021-22&amp;SeasonType=Regular%20Season&amp;LeagueID=00&amp;PerMode=PerGame&amp;Scope=S&amp;StatCategory=PTS&amp;section=leaders" xr:uid="{68581AD3-C4D6-C441-8411-FA68ECD426D6}"/>
    <hyperlink ref="R31" r:id="rId342" display="https://www.nba.com/stats/events/?flag=1&amp;CFID=&amp;CFPARAMS=&amp;PlayerID=1630178&amp;TeamID=0&amp;GameID=&amp;ContextMeasure=OREB&amp;Season=2021-22&amp;SeasonType=Regular%20Season&amp;LeagueID=00&amp;PerMode=PerGame&amp;Scope=S&amp;StatCategory=PTS&amp;section=leaders" xr:uid="{C5943CE8-AB45-3343-9413-B2F05972CCBF}"/>
    <hyperlink ref="S31" r:id="rId343" display="https://www.nba.com/stats/events/?flag=1&amp;CFID=&amp;CFPARAMS=&amp;PlayerID=1630178&amp;TeamID=0&amp;GameID=&amp;ContextMeasure=DREB&amp;Season=2021-22&amp;SeasonType=Regular%20Season&amp;LeagueID=00&amp;PerMode=PerGame&amp;Scope=S&amp;StatCategory=PTS&amp;section=leaders" xr:uid="{A39EE658-DE07-2045-AE86-3D5CA265DCFA}"/>
    <hyperlink ref="T31" r:id="rId344" display="https://www.nba.com/stats/events/?flag=1&amp;CFID=&amp;CFPARAMS=&amp;PlayerID=1630178&amp;TeamID=0&amp;GameID=&amp;ContextMeasure=REB&amp;Season=2021-22&amp;SeasonType=Regular%20Season&amp;LeagueID=00&amp;PerMode=PerGame&amp;Scope=S&amp;StatCategory=PTS&amp;section=leaders" xr:uid="{7B3193B9-A80B-2C43-90D2-B1D16241C2C9}"/>
    <hyperlink ref="U31" r:id="rId345" display="https://www.nba.com/stats/events/?flag=1&amp;CFID=&amp;CFPARAMS=&amp;PlayerID=1630178&amp;TeamID=0&amp;GameID=&amp;ContextMeasure=AST&amp;Season=2021-22&amp;SeasonType=Regular%20Season&amp;LeagueID=00&amp;PerMode=PerGame&amp;Scope=S&amp;StatCategory=PTS&amp;section=leaders" xr:uid="{40FE85CD-74FF-9A46-9E92-F919F2F2B835}"/>
    <hyperlink ref="V31" r:id="rId346" display="https://www.nba.com/stats/events/?flag=1&amp;CFID=&amp;CFPARAMS=&amp;PlayerID=1630178&amp;TeamID=0&amp;GameID=&amp;ContextMeasure=STL&amp;Season=2021-22&amp;SeasonType=Regular%20Season&amp;LeagueID=00&amp;PerMode=PerGame&amp;Scope=S&amp;StatCategory=PTS&amp;section=leaders" xr:uid="{765E2B57-093E-754C-BA87-1B4DF02E79EE}"/>
    <hyperlink ref="W31" r:id="rId347" display="https://www.nba.com/stats/events/?flag=1&amp;CFID=&amp;CFPARAMS=&amp;PlayerID=1630178&amp;TeamID=0&amp;GameID=&amp;ContextMeasure=BLK&amp;Season=2021-22&amp;SeasonType=Regular%20Season&amp;LeagueID=00&amp;PerMode=PerGame&amp;Scope=S&amp;StatCategory=PTS&amp;section=leaders" xr:uid="{86D14D77-2012-174C-982F-F0E046FF34F1}"/>
    <hyperlink ref="X31" r:id="rId348" display="https://www.nba.com/stats/events/?flag=1&amp;CFID=&amp;CFPARAMS=&amp;PlayerID=1630178&amp;TeamID=0&amp;GameID=&amp;ContextMeasure=TOV&amp;Season=2021-22&amp;SeasonType=Regular%20Season&amp;LeagueID=00&amp;PerMode=PerGame&amp;Scope=S&amp;StatCategory=PTS&amp;section=leaders" xr:uid="{B24B3962-FB0B-7942-B5E7-442EDC95BF70}"/>
    <hyperlink ref="D32" r:id="rId349" display="https://www.nba.com/player/1626174/traditional/" xr:uid="{1C153EEF-84C7-4947-968F-508DF86CD517}"/>
    <hyperlink ref="H32" r:id="rId350" display="https://www.nba.com/stats/events/?flag=3&amp;CFID=&amp;CFPARAMS=&amp;PlayerID=1626174&amp;TeamID=0&amp;GameID=&amp;ContextMeasure=FGM&amp;Season=2021-22&amp;SeasonType=Regular%20Season&amp;LeagueID=00&amp;PerMode=PerGame&amp;Scope=S&amp;StatCategory=PTS&amp;section=leaders" xr:uid="{D7B699C2-9F12-4944-8674-4543958BEF84}"/>
    <hyperlink ref="I32" r:id="rId351" display="https://www.nba.com/stats/events/?flag=3&amp;CFID=&amp;CFPARAMS=&amp;PlayerID=1626174&amp;TeamID=0&amp;GameID=&amp;ContextMeasure=FGA&amp;Season=2021-22&amp;SeasonType=Regular%20Season&amp;LeagueID=00&amp;PerMode=PerGame&amp;Scope=S&amp;StatCategory=PTS&amp;section=leaders" xr:uid="{6B1DF6F4-D705-0C41-B205-74903744BACD}"/>
    <hyperlink ref="K32" r:id="rId352" display="https://www.nba.com/stats/events/?flag=3&amp;CFID=&amp;CFPARAMS=&amp;PlayerID=1626174&amp;TeamID=0&amp;GameID=&amp;ContextMeasure=FG3M&amp;Season=2021-22&amp;SeasonType=Regular%20Season&amp;LeagueID=00&amp;PerMode=PerGame&amp;Scope=S&amp;StatCategory=PTS&amp;section=leaders" xr:uid="{BE3A3B8E-23A5-9E4A-BD50-5FC167C501DB}"/>
    <hyperlink ref="L32" r:id="rId353" display="https://www.nba.com/stats/events/?flag=3&amp;CFID=&amp;CFPARAMS=&amp;PlayerID=1626174&amp;TeamID=0&amp;GameID=&amp;ContextMeasure=FG3A&amp;Season=2021-22&amp;SeasonType=Regular%20Season&amp;LeagueID=00&amp;PerMode=PerGame&amp;Scope=S&amp;StatCategory=PTS&amp;section=leaders" xr:uid="{BA277417-A50A-3C40-BEA9-11749D39B61D}"/>
    <hyperlink ref="R32" r:id="rId354" display="https://www.nba.com/stats/events/?flag=1&amp;CFID=&amp;CFPARAMS=&amp;PlayerID=1626174&amp;TeamID=0&amp;GameID=&amp;ContextMeasure=OREB&amp;Season=2021-22&amp;SeasonType=Regular%20Season&amp;LeagueID=00&amp;PerMode=PerGame&amp;Scope=S&amp;StatCategory=PTS&amp;section=leaders" xr:uid="{8D719555-B24F-F04A-A3E9-21F1903608EF}"/>
    <hyperlink ref="S32" r:id="rId355" display="https://www.nba.com/stats/events/?flag=1&amp;CFID=&amp;CFPARAMS=&amp;PlayerID=1626174&amp;TeamID=0&amp;GameID=&amp;ContextMeasure=DREB&amp;Season=2021-22&amp;SeasonType=Regular%20Season&amp;LeagueID=00&amp;PerMode=PerGame&amp;Scope=S&amp;StatCategory=PTS&amp;section=leaders" xr:uid="{9BDA630C-5FE8-C148-94CA-90E70C6E6A3F}"/>
    <hyperlink ref="T32" r:id="rId356" display="https://www.nba.com/stats/events/?flag=1&amp;CFID=&amp;CFPARAMS=&amp;PlayerID=1626174&amp;TeamID=0&amp;GameID=&amp;ContextMeasure=REB&amp;Season=2021-22&amp;SeasonType=Regular%20Season&amp;LeagueID=00&amp;PerMode=PerGame&amp;Scope=S&amp;StatCategory=PTS&amp;section=leaders" xr:uid="{1A1E6003-F78A-4249-9B74-40BF035EC0E3}"/>
    <hyperlink ref="U32" r:id="rId357" display="https://www.nba.com/stats/events/?flag=1&amp;CFID=&amp;CFPARAMS=&amp;PlayerID=1626174&amp;TeamID=0&amp;GameID=&amp;ContextMeasure=AST&amp;Season=2021-22&amp;SeasonType=Regular%20Season&amp;LeagueID=00&amp;PerMode=PerGame&amp;Scope=S&amp;StatCategory=PTS&amp;section=leaders" xr:uid="{79D7FCB3-EA06-3A4E-A4AF-77914262121F}"/>
    <hyperlink ref="V32" r:id="rId358" display="https://www.nba.com/stats/events/?flag=1&amp;CFID=&amp;CFPARAMS=&amp;PlayerID=1626174&amp;TeamID=0&amp;GameID=&amp;ContextMeasure=STL&amp;Season=2021-22&amp;SeasonType=Regular%20Season&amp;LeagueID=00&amp;PerMode=PerGame&amp;Scope=S&amp;StatCategory=PTS&amp;section=leaders" xr:uid="{403996FE-1B49-D546-8A50-3E41E5100ACC}"/>
    <hyperlink ref="W32" r:id="rId359" display="https://www.nba.com/stats/events/?flag=1&amp;CFID=&amp;CFPARAMS=&amp;PlayerID=1626174&amp;TeamID=0&amp;GameID=&amp;ContextMeasure=BLK&amp;Season=2021-22&amp;SeasonType=Regular%20Season&amp;LeagueID=00&amp;PerMode=PerGame&amp;Scope=S&amp;StatCategory=PTS&amp;section=leaders" xr:uid="{6C70D032-EF86-4745-9D32-97985821DAF3}"/>
    <hyperlink ref="X32" r:id="rId360" display="https://www.nba.com/stats/events/?flag=1&amp;CFID=&amp;CFPARAMS=&amp;PlayerID=1626174&amp;TeamID=0&amp;GameID=&amp;ContextMeasure=TOV&amp;Season=2021-22&amp;SeasonType=Regular%20Season&amp;LeagueID=00&amp;PerMode=PerGame&amp;Scope=S&amp;StatCategory=PTS&amp;section=leaders" xr:uid="{1671EDEC-0C1C-284B-AA51-7829C3BDCEB7}"/>
    <hyperlink ref="AG3" r:id="rId361" display="https://www.nba.com/stats/events/?flag=3&amp;CFID=&amp;CFPARAMS=&amp;PlayerID=201142&amp;TeamID=0&amp;GameID=&amp;ContextMeasure=FGA&amp;Season=2021-22&amp;SeasonType=Regular%20Season&amp;LeagueID=00&amp;PerMode=PerGame&amp;Scope=S&amp;StatCategory=PTS&amp;section=leaders" xr:uid="{2D0424CA-C74F-B14A-B754-05EB25E5E0FE}"/>
    <hyperlink ref="AG4" r:id="rId362" display="https://www.nba.com/stats/events/?flag=3&amp;CFID=&amp;CFPARAMS=&amp;PlayerID=201939&amp;TeamID=0&amp;GameID=&amp;ContextMeasure=FGA&amp;Season=2021-22&amp;SeasonType=Regular%20Season&amp;LeagueID=00&amp;PerMode=PerGame&amp;Scope=S&amp;StatCategory=PTS&amp;section=leaders" xr:uid="{B95296BD-8B61-EA41-B982-C9FCEE366673}"/>
    <hyperlink ref="AG5" r:id="rId363" display="https://www.nba.com/stats/events/?flag=3&amp;CFID=&amp;CFPARAMS=&amp;PlayerID=203507&amp;TeamID=0&amp;GameID=&amp;ContextMeasure=FGA&amp;Season=2021-22&amp;SeasonType=Regular%20Season&amp;LeagueID=00&amp;PerMode=PerGame&amp;Scope=S&amp;StatCategory=PTS&amp;section=leaders" xr:uid="{80163068-5201-DF4B-85F0-D03657F09DA3}"/>
    <hyperlink ref="AG6" r:id="rId364" display="https://www.nba.com/stats/events/?flag=3&amp;CFID=&amp;CFPARAMS=&amp;PlayerID=1629027&amp;TeamID=0&amp;GameID=&amp;ContextMeasure=FGA&amp;Season=2021-22&amp;SeasonType=Regular%20Season&amp;LeagueID=00&amp;PerMode=PerGame&amp;Scope=S&amp;StatCategory=PTS&amp;section=leaders" xr:uid="{3903712F-72CB-F547-910C-C700E151A151}"/>
    <hyperlink ref="AG7" r:id="rId365" display="https://www.nba.com/stats/events/?flag=3&amp;CFID=&amp;CFPARAMS=&amp;PlayerID=201942&amp;TeamID=0&amp;GameID=&amp;ContextMeasure=FGA&amp;Season=2021-22&amp;SeasonType=Regular%20Season&amp;LeagueID=00&amp;PerMode=PerGame&amp;Scope=S&amp;StatCategory=PTS&amp;section=leaders" xr:uid="{A084B041-3B42-0B41-B8F4-C313AB9597CA}"/>
    <hyperlink ref="AG8" r:id="rId366" display="https://www.nba.com/stats/events/?flag=3&amp;CFID=&amp;CFPARAMS=&amp;PlayerID=202331&amp;TeamID=0&amp;GameID=&amp;ContextMeasure=FGA&amp;Season=2021-22&amp;SeasonType=Regular%20Season&amp;LeagueID=00&amp;PerMode=PerGame&amp;Scope=S&amp;StatCategory=PTS&amp;section=leaders" xr:uid="{7D171FD7-983B-404B-BDF3-DD78901CE5CC}"/>
    <hyperlink ref="AG9" r:id="rId367" display="https://www.nba.com/stats/events/?flag=3&amp;CFID=&amp;CFPARAMS=&amp;PlayerID=203999&amp;TeamID=0&amp;GameID=&amp;ContextMeasure=FGA&amp;Season=2021-22&amp;SeasonType=Regular%20Season&amp;LeagueID=00&amp;PerMode=PerGame&amp;Scope=S&amp;StatCategory=PTS&amp;section=leaders" xr:uid="{B7D42A19-A6A1-934D-8E2F-D0A5AB7FAA33}"/>
    <hyperlink ref="AG10" r:id="rId368" display="https://www.nba.com/stats/events/?flag=3&amp;CFID=&amp;CFPARAMS=&amp;PlayerID=1629029&amp;TeamID=0&amp;GameID=&amp;ContextMeasure=FGA&amp;Season=2021-22&amp;SeasonType=Regular%20Season&amp;LeagueID=00&amp;PerMode=PerGame&amp;Scope=S&amp;StatCategory=PTS&amp;section=leaders" xr:uid="{58841CFA-B703-C247-84DF-A436A57FB57E}"/>
    <hyperlink ref="AG11" r:id="rId369" display="https://www.nba.com/stats/events/?flag=3&amp;CFID=&amp;CFPARAMS=&amp;PlayerID=1628369&amp;TeamID=0&amp;GameID=&amp;ContextMeasure=FGA&amp;Season=2021-22&amp;SeasonType=Regular%20Season&amp;LeagueID=00&amp;PerMode=PerGame&amp;Scope=S&amp;StatCategory=PTS&amp;section=leaders" xr:uid="{C96D51E8-4DF0-FB4D-9E30-571C51AD7FE0}"/>
    <hyperlink ref="AG12" r:id="rId370" display="https://www.nba.com/stats/events/?flag=3&amp;CFID=&amp;CFPARAMS=&amp;PlayerID=203076&amp;TeamID=0&amp;GameID=&amp;ContextMeasure=FGA&amp;Season=2021-22&amp;SeasonType=Regular%20Season&amp;LeagueID=00&amp;PerMode=PerGame&amp;Scope=S&amp;StatCategory=PTS&amp;section=leaders" xr:uid="{059778FF-B863-AF48-9A9C-9C0A412F9D84}"/>
    <hyperlink ref="AG13" r:id="rId371" display="https://www.nba.com/stats/events/?flag=3&amp;CFID=&amp;CFPARAMS=&amp;PlayerID=1629630&amp;TeamID=0&amp;GameID=&amp;ContextMeasure=FGA&amp;Season=2021-22&amp;SeasonType=Regular%20Season&amp;LeagueID=00&amp;PerMode=PerGame&amp;Scope=S&amp;StatCategory=PTS&amp;section=leaders" xr:uid="{404DA4C5-4FB7-DC4A-8985-2CA810381C89}"/>
    <hyperlink ref="AG14" r:id="rId372" display="https://www.nba.com/stats/events/?flag=3&amp;CFID=&amp;CFPARAMS=&amp;PlayerID=1626157&amp;TeamID=0&amp;GameID=&amp;ContextMeasure=FGA&amp;Season=2021-22&amp;SeasonType=Regular%20Season&amp;LeagueID=00&amp;PerMode=PerGame&amp;Scope=S&amp;StatCategory=PTS&amp;section=leaders" xr:uid="{A32B9190-075F-F04D-8042-6FCFFBB8C64E}"/>
    <hyperlink ref="AG15" r:id="rId373" display="https://www.nba.com/stats/events/?flag=3&amp;CFID=&amp;CFPARAMS=&amp;PlayerID=202710&amp;TeamID=0&amp;GameID=&amp;ContextMeasure=FGA&amp;Season=2021-22&amp;SeasonType=Regular%20Season&amp;LeagueID=00&amp;PerMode=PerGame&amp;Scope=S&amp;StatCategory=PTS&amp;section=leaders" xr:uid="{B76C9640-DCBD-5B43-8A3B-CDAD69463CF9}"/>
    <hyperlink ref="AG16" r:id="rId374" display="https://www.nba.com/stats/events/?flag=3&amp;CFID=&amp;CFPARAMS=&amp;PlayerID=1626164&amp;TeamID=0&amp;GameID=&amp;ContextMeasure=FGA&amp;Season=2021-22&amp;SeasonType=Regular%20Season&amp;LeagueID=00&amp;PerMode=PerGame&amp;Scope=S&amp;StatCategory=PTS&amp;section=leaders" xr:uid="{BDECCFFE-E5D5-FE41-B540-38DB47D79989}"/>
    <hyperlink ref="AG17" r:id="rId375" display="https://www.nba.com/stats/events/?flag=3&amp;CFID=&amp;CFPARAMS=&amp;PlayerID=1628378&amp;TeamID=0&amp;GameID=&amp;ContextMeasure=FGA&amp;Season=2021-22&amp;SeasonType=Regular%20Season&amp;LeagueID=00&amp;PerMode=PerGame&amp;Scope=S&amp;StatCategory=PTS&amp;section=leaders" xr:uid="{C3C5A04E-BBF5-2A4E-AEE8-9EB645F01589}"/>
    <hyperlink ref="AG18" r:id="rId376" display="https://www.nba.com/stats/events/?flag=3&amp;CFID=&amp;CFPARAMS=&amp;PlayerID=203078&amp;TeamID=0&amp;GameID=&amp;ContextMeasure=FGA&amp;Season=2021-22&amp;SeasonType=Regular%20Season&amp;LeagueID=00&amp;PerMode=PerGame&amp;Scope=S&amp;StatCategory=PTS&amp;section=leaders" xr:uid="{B247C3FA-F507-B441-8FFE-64E6DC435F3A}"/>
    <hyperlink ref="AG19" r:id="rId377" display="https://www.nba.com/stats/events/?flag=3&amp;CFID=&amp;CFPARAMS=&amp;PlayerID=1627742&amp;TeamID=0&amp;GameID=&amp;ContextMeasure=FGA&amp;Season=2021-22&amp;SeasonType=Regular%20Season&amp;LeagueID=00&amp;PerMode=PerGame&amp;Scope=S&amp;StatCategory=PTS&amp;section=leaders" xr:uid="{9FA44545-8686-C34B-A331-20C80244974D}"/>
    <hyperlink ref="AG20" r:id="rId378" display="https://www.nba.com/stats/events/?flag=3&amp;CFID=&amp;CFPARAMS=&amp;PlayerID=203081&amp;TeamID=0&amp;GameID=&amp;ContextMeasure=FGA&amp;Season=2021-22&amp;SeasonType=Regular%20Season&amp;LeagueID=00&amp;PerMode=PerGame&amp;Scope=S&amp;StatCategory=PTS&amp;section=leaders" xr:uid="{843B82E5-E9C1-454E-B7AA-10A8C887D40F}"/>
    <hyperlink ref="AG21" r:id="rId379" display="https://www.nba.com/stats/events/?flag=3&amp;CFID=&amp;CFPARAMS=&amp;PlayerID=1628983&amp;TeamID=0&amp;GameID=&amp;ContextMeasure=FGA&amp;Season=2021-22&amp;SeasonType=Regular%20Season&amp;LeagueID=00&amp;PerMode=PerGame&amp;Scope=S&amp;StatCategory=PTS&amp;section=leaders" xr:uid="{492AC789-06B4-2F47-B357-C3D42AEF2EB9}"/>
    <hyperlink ref="AG22" r:id="rId380" display="https://www.nba.com/stats/events/?flag=3&amp;CFID=&amp;CFPARAMS=&amp;PlayerID=1627763&amp;TeamID=0&amp;GameID=&amp;ContextMeasure=FGA&amp;Season=2021-22&amp;SeasonType=Regular%20Season&amp;LeagueID=00&amp;PerMode=PerGame&amp;Scope=S&amp;StatCategory=PTS&amp;section=leaders" xr:uid="{B387AC90-5D83-7549-939C-0FAF680B6E73}"/>
    <hyperlink ref="AG23" r:id="rId381" display="https://www.nba.com/stats/events/?flag=3&amp;CFID=&amp;CFPARAMS=&amp;PlayerID=1628368&amp;TeamID=0&amp;GameID=&amp;ContextMeasure=FGA&amp;Season=2021-22&amp;SeasonType=Regular%20Season&amp;LeagueID=00&amp;PerMode=PerGame&amp;Scope=S&amp;StatCategory=PTS&amp;section=leaders" xr:uid="{03FDD550-06DE-4141-A351-770EAFF4EE0C}"/>
    <hyperlink ref="AG24" r:id="rId382" display="https://www.nba.com/stats/events/?flag=3&amp;CFID=&amp;CFPARAMS=&amp;PlayerID=1630163&amp;TeamID=0&amp;GameID=&amp;ContextMeasure=FGA&amp;Season=2021-22&amp;SeasonType=Regular%20Season&amp;LeagueID=00&amp;PerMode=PerGame&amp;Scope=S&amp;StatCategory=PTS&amp;section=leaders" xr:uid="{C5CD789F-C89A-7547-A68B-306F81A1892B}"/>
    <hyperlink ref="AG25" r:id="rId383" display="https://www.nba.com/stats/events/?flag=3&amp;CFID=&amp;CFPARAMS=&amp;PlayerID=1630175&amp;TeamID=0&amp;GameID=&amp;ContextMeasure=FGA&amp;Season=2021-22&amp;SeasonType=Regular%20Season&amp;LeagueID=00&amp;PerMode=PerGame&amp;Scope=S&amp;StatCategory=PTS&amp;section=leaders" xr:uid="{B6CF383E-093F-A543-BDF0-F6804A6283A1}"/>
    <hyperlink ref="AG26" r:id="rId384" display="https://www.nba.com/stats/events/?flag=3&amp;CFID=&amp;CFPARAMS=&amp;PlayerID=1627832&amp;TeamID=0&amp;GameID=&amp;ContextMeasure=FGA&amp;Season=2021-22&amp;SeasonType=Regular%20Season&amp;LeagueID=00&amp;PerMode=PerGame&amp;Scope=S&amp;StatCategory=PTS&amp;section=leaders" xr:uid="{9E1F7079-8ACA-9745-AACB-D2F40A452057}"/>
    <hyperlink ref="AG27" r:id="rId385" display="https://www.nba.com/stats/events/?flag=3&amp;CFID=&amp;CFPARAMS=&amp;PlayerID=203924&amp;TeamID=0&amp;GameID=&amp;ContextMeasure=FGA&amp;Season=2021-22&amp;SeasonType=Regular%20Season&amp;LeagueID=00&amp;PerMode=PerGame&amp;Scope=S&amp;StatCategory=PTS&amp;section=leaders" xr:uid="{0964F62B-2E6E-A14E-A8F5-5FFCD23C403A}"/>
    <hyperlink ref="AG28" r:id="rId386" display="https://www.nba.com/stats/events/?flag=3&amp;CFID=&amp;CFPARAMS=&amp;PlayerID=203944&amp;TeamID=0&amp;GameID=&amp;ContextMeasure=FGA&amp;Season=2021-22&amp;SeasonType=Regular%20Season&amp;LeagueID=00&amp;PerMode=PerGame&amp;Scope=S&amp;StatCategory=PTS&amp;section=leaders" xr:uid="{E112E1B3-AA12-184C-98AB-7F4FBDFFD129}"/>
    <hyperlink ref="AG29" r:id="rId387" display="https://www.nba.com/stats/events/?flag=3&amp;CFID=&amp;CFPARAMS=&amp;PlayerID=1627749&amp;TeamID=0&amp;GameID=&amp;ContextMeasure=FGA&amp;Season=2021-22&amp;SeasonType=Regular%20Season&amp;LeagueID=00&amp;PerMode=PerGame&amp;Scope=S&amp;StatCategory=PTS&amp;section=leaders" xr:uid="{AE42D91B-F25A-6B4D-90FE-32427370EAEB}"/>
    <hyperlink ref="AG30" r:id="rId388" display="https://www.nba.com/stats/events/?flag=3&amp;CFID=&amp;CFPARAMS=&amp;PlayerID=1629636&amp;TeamID=0&amp;GameID=&amp;ContextMeasure=FGA&amp;Season=2021-22&amp;SeasonType=Regular%20Season&amp;LeagueID=00&amp;PerMode=PerGame&amp;Scope=S&amp;StatCategory=PTS&amp;section=leaders" xr:uid="{058B2C17-BC5F-E642-868C-08BDD1EF0EC9}"/>
    <hyperlink ref="AG31" r:id="rId389" display="https://www.nba.com/stats/events/?flag=3&amp;CFID=&amp;CFPARAMS=&amp;PlayerID=1630178&amp;TeamID=0&amp;GameID=&amp;ContextMeasure=FGA&amp;Season=2021-22&amp;SeasonType=Regular%20Season&amp;LeagueID=00&amp;PerMode=PerGame&amp;Scope=S&amp;StatCategory=PTS&amp;section=leaders" xr:uid="{91C1BC4A-2B4E-E14C-AF61-550774198B3F}"/>
    <hyperlink ref="AG32" r:id="rId390" display="https://www.nba.com/stats/events/?flag=3&amp;CFID=&amp;CFPARAMS=&amp;PlayerID=1626174&amp;TeamID=0&amp;GameID=&amp;ContextMeasure=FGA&amp;Season=2021-22&amp;SeasonType=Regular%20Season&amp;LeagueID=00&amp;PerMode=PerGame&amp;Scope=S&amp;StatCategory=PTS&amp;section=leaders" xr:uid="{2E5806F6-7497-004B-850C-EC2CDAE27EC9}"/>
    <hyperlink ref="AJ3" r:id="rId391" display="https://www.nba.com/stats/events/?flag=3&amp;CFID=&amp;CFPARAMS=&amp;PlayerID=201142&amp;TeamID=0&amp;GameID=&amp;ContextMeasure=FG3M&amp;Season=2021-22&amp;SeasonType=Regular%20Season&amp;LeagueID=00&amp;PerMode=PerGame&amp;Scope=S&amp;StatCategory=PTS&amp;section=leaders" xr:uid="{DDAAEBE7-ACE7-114A-8CE4-8838338AB20B}"/>
    <hyperlink ref="AJ4:AJ32" r:id="rId392" display="https://www.nba.com/stats/events/?flag=3&amp;CFID=&amp;CFPARAMS=&amp;PlayerID=201142&amp;TeamID=0&amp;GameID=&amp;ContextMeasure=FG3M&amp;Season=2021-22&amp;SeasonType=Regular%20Season&amp;LeagueID=00&amp;PerMode=PerGame&amp;Scope=S&amp;StatCategory=PTS&amp;section=leaders" xr:uid="{8E834887-281F-1C4A-9844-EBAECEDC3C4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4D67B-CE3E-CE4D-8930-E7F745206E4E}">
  <dimension ref="A1:I21"/>
  <sheetViews>
    <sheetView workbookViewId="0">
      <selection activeCell="L23" sqref="L23"/>
    </sheetView>
  </sheetViews>
  <sheetFormatPr baseColWidth="10" defaultRowHeight="16" x14ac:dyDescent="0.2"/>
  <sheetData>
    <row r="1" spans="1:9" x14ac:dyDescent="0.2">
      <c r="A1" t="s">
        <v>91</v>
      </c>
    </row>
    <row r="2" spans="1:9" ht="17" thickBot="1" x14ac:dyDescent="0.25"/>
    <row r="3" spans="1:9" x14ac:dyDescent="0.2">
      <c r="A3" s="10" t="s">
        <v>92</v>
      </c>
      <c r="B3" s="10"/>
    </row>
    <row r="4" spans="1:9" x14ac:dyDescent="0.2">
      <c r="A4" s="7" t="s">
        <v>93</v>
      </c>
      <c r="B4" s="7">
        <v>0.58316697710854282</v>
      </c>
    </row>
    <row r="5" spans="1:9" x14ac:dyDescent="0.2">
      <c r="A5" s="7" t="s">
        <v>94</v>
      </c>
      <c r="B5" s="7">
        <v>0.34008372318991564</v>
      </c>
    </row>
    <row r="6" spans="1:9" x14ac:dyDescent="0.2">
      <c r="A6" s="7" t="s">
        <v>95</v>
      </c>
      <c r="B6" s="7">
        <v>0.23449711890030214</v>
      </c>
    </row>
    <row r="7" spans="1:9" x14ac:dyDescent="0.2">
      <c r="A7" s="7" t="s">
        <v>96</v>
      </c>
      <c r="B7" s="7">
        <v>14.780564896559973</v>
      </c>
    </row>
    <row r="8" spans="1:9" ht="17" thickBot="1" x14ac:dyDescent="0.25">
      <c r="A8" s="8" t="s">
        <v>97</v>
      </c>
      <c r="B8" s="8">
        <v>30</v>
      </c>
    </row>
    <row r="10" spans="1:9" ht="17" thickBot="1" x14ac:dyDescent="0.25">
      <c r="A10" t="s">
        <v>98</v>
      </c>
    </row>
    <row r="11" spans="1:9" x14ac:dyDescent="0.2">
      <c r="A11" s="9"/>
      <c r="B11" s="9" t="s">
        <v>103</v>
      </c>
      <c r="C11" s="9" t="s">
        <v>104</v>
      </c>
      <c r="D11" s="9" t="s">
        <v>105</v>
      </c>
      <c r="E11" s="9" t="s">
        <v>106</v>
      </c>
      <c r="F11" s="9" t="s">
        <v>107</v>
      </c>
    </row>
    <row r="12" spans="1:9" x14ac:dyDescent="0.2">
      <c r="A12" s="7" t="s">
        <v>99</v>
      </c>
      <c r="B12" s="7">
        <v>4</v>
      </c>
      <c r="C12" s="7">
        <v>2814.6155334644773</v>
      </c>
      <c r="D12" s="7">
        <v>703.65388336611932</v>
      </c>
      <c r="E12" s="7">
        <v>3.2208983845820063</v>
      </c>
      <c r="F12" s="7">
        <v>2.9097546562897023E-2</v>
      </c>
    </row>
    <row r="13" spans="1:9" x14ac:dyDescent="0.2">
      <c r="A13" s="7" t="s">
        <v>100</v>
      </c>
      <c r="B13" s="7">
        <v>25</v>
      </c>
      <c r="C13" s="7">
        <v>5461.6274665355231</v>
      </c>
      <c r="D13" s="7">
        <v>218.46509866142094</v>
      </c>
      <c r="E13" s="7"/>
      <c r="F13" s="7"/>
    </row>
    <row r="14" spans="1:9" ht="17" thickBot="1" x14ac:dyDescent="0.25">
      <c r="A14" s="8" t="s">
        <v>101</v>
      </c>
      <c r="B14" s="8">
        <v>29</v>
      </c>
      <c r="C14" s="8">
        <v>8276.2430000000004</v>
      </c>
      <c r="D14" s="8"/>
      <c r="E14" s="8"/>
      <c r="F14" s="8"/>
    </row>
    <row r="15" spans="1:9" ht="17" thickBot="1" x14ac:dyDescent="0.25"/>
    <row r="16" spans="1:9" x14ac:dyDescent="0.2">
      <c r="A16" s="9"/>
      <c r="B16" s="9" t="s">
        <v>108</v>
      </c>
      <c r="C16" s="9" t="s">
        <v>96</v>
      </c>
      <c r="D16" s="9" t="s">
        <v>109</v>
      </c>
      <c r="E16" s="9" t="s">
        <v>110</v>
      </c>
      <c r="F16" s="9" t="s">
        <v>111</v>
      </c>
      <c r="G16" s="9" t="s">
        <v>112</v>
      </c>
      <c r="H16" s="9" t="s">
        <v>113</v>
      </c>
      <c r="I16" s="9" t="s">
        <v>114</v>
      </c>
    </row>
    <row r="17" spans="1:9" x14ac:dyDescent="0.2">
      <c r="A17" s="7" t="s">
        <v>102</v>
      </c>
      <c r="B17" s="7">
        <v>-87.961384005703451</v>
      </c>
      <c r="C17" s="7">
        <v>44.198846277468292</v>
      </c>
      <c r="D17" s="7">
        <v>-1.9901285081856186</v>
      </c>
      <c r="E17" s="7">
        <v>5.7618521719429473E-2</v>
      </c>
      <c r="F17" s="7">
        <v>-178.99061190136598</v>
      </c>
      <c r="G17" s="7">
        <v>3.0678438899590788</v>
      </c>
      <c r="H17" s="7">
        <v>-178.99061190136598</v>
      </c>
      <c r="I17" s="7">
        <v>3.0678438899590788</v>
      </c>
    </row>
    <row r="18" spans="1:9" x14ac:dyDescent="0.2">
      <c r="A18" s="7" t="s">
        <v>85</v>
      </c>
      <c r="B18" s="7">
        <v>1.8564836617889138</v>
      </c>
      <c r="C18" s="7">
        <v>1.1598500238394394</v>
      </c>
      <c r="D18" s="7">
        <v>1.6006238941509139</v>
      </c>
      <c r="E18" s="7">
        <v>0.12202271923065897</v>
      </c>
      <c r="F18" s="7">
        <v>-0.53227217772024282</v>
      </c>
      <c r="G18" s="7">
        <v>4.2452395012980704</v>
      </c>
      <c r="H18" s="7">
        <v>-0.53227217772024282</v>
      </c>
      <c r="I18" s="7">
        <v>4.2452395012980704</v>
      </c>
    </row>
    <row r="19" spans="1:9" x14ac:dyDescent="0.2">
      <c r="A19" s="7" t="s">
        <v>36</v>
      </c>
      <c r="B19" s="7">
        <v>0.91958349666208605</v>
      </c>
      <c r="C19" s="7">
        <v>0.73406371060301756</v>
      </c>
      <c r="D19" s="7">
        <v>1.2527298153816486</v>
      </c>
      <c r="E19" s="7">
        <v>0.22189578761971995</v>
      </c>
      <c r="F19" s="7">
        <v>-0.59224901550196829</v>
      </c>
      <c r="G19" s="7">
        <v>2.4314160088261403</v>
      </c>
      <c r="H19" s="7">
        <v>-0.59224901550196829</v>
      </c>
      <c r="I19" s="7">
        <v>2.4314160088261403</v>
      </c>
    </row>
    <row r="20" spans="1:9" x14ac:dyDescent="0.2">
      <c r="A20" s="7" t="s">
        <v>39</v>
      </c>
      <c r="B20" s="7">
        <v>1.5138613400461142E-2</v>
      </c>
      <c r="C20" s="7">
        <v>0.50431637115006134</v>
      </c>
      <c r="D20" s="7">
        <v>3.0018088379598899E-2</v>
      </c>
      <c r="E20" s="7">
        <v>0.97629098683543636</v>
      </c>
      <c r="F20" s="7">
        <v>-1.023520395767731</v>
      </c>
      <c r="G20" s="7">
        <v>1.0537976225686534</v>
      </c>
      <c r="H20" s="7">
        <v>-1.023520395767731</v>
      </c>
      <c r="I20" s="7">
        <v>1.0537976225686534</v>
      </c>
    </row>
    <row r="21" spans="1:9" ht="17" thickBot="1" x14ac:dyDescent="0.25">
      <c r="A21" s="8" t="s">
        <v>42</v>
      </c>
      <c r="B21" s="8">
        <v>0.68712416885264849</v>
      </c>
      <c r="C21" s="8">
        <v>0.35421067005561069</v>
      </c>
      <c r="D21" s="8">
        <v>1.939874280875759</v>
      </c>
      <c r="E21" s="8">
        <v>6.3756298053763233E-2</v>
      </c>
      <c r="F21" s="8">
        <v>-4.2386361923459792E-2</v>
      </c>
      <c r="G21" s="8">
        <v>1.4166346996287569</v>
      </c>
      <c r="H21" s="8">
        <v>-4.2386361923459792E-2</v>
      </c>
      <c r="I21" s="8">
        <v>1.4166346996287569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B7C4-7230-9544-A12D-A1456CF322C8}">
  <dimension ref="C3:K23"/>
  <sheetViews>
    <sheetView zoomScale="67" workbookViewId="0">
      <selection activeCell="E7" sqref="E7"/>
    </sheetView>
  </sheetViews>
  <sheetFormatPr baseColWidth="10" defaultRowHeight="16" x14ac:dyDescent="0.2"/>
  <sheetData>
    <row r="3" spans="3:8" x14ac:dyDescent="0.2">
      <c r="C3" t="s">
        <v>91</v>
      </c>
    </row>
    <row r="4" spans="3:8" ht="17" thickBot="1" x14ac:dyDescent="0.25"/>
    <row r="5" spans="3:8" x14ac:dyDescent="0.2">
      <c r="C5" s="10" t="s">
        <v>92</v>
      </c>
      <c r="D5" s="10"/>
    </row>
    <row r="6" spans="3:8" x14ac:dyDescent="0.2">
      <c r="C6" s="7" t="s">
        <v>93</v>
      </c>
      <c r="D6" s="7">
        <v>0.58316697710854304</v>
      </c>
    </row>
    <row r="7" spans="3:8" x14ac:dyDescent="0.2">
      <c r="C7" s="7" t="s">
        <v>94</v>
      </c>
      <c r="D7" s="7">
        <v>0.34008372318991592</v>
      </c>
    </row>
    <row r="8" spans="3:8" x14ac:dyDescent="0.2">
      <c r="C8" s="7" t="s">
        <v>95</v>
      </c>
      <c r="D8" s="7">
        <v>0.23449711890030245</v>
      </c>
    </row>
    <row r="9" spans="3:8" x14ac:dyDescent="0.2">
      <c r="C9" s="7" t="s">
        <v>96</v>
      </c>
      <c r="D9" s="7">
        <v>0.1478056489655997</v>
      </c>
    </row>
    <row r="10" spans="3:8" ht="17" thickBot="1" x14ac:dyDescent="0.25">
      <c r="C10" s="8" t="s">
        <v>97</v>
      </c>
      <c r="D10" s="8">
        <v>30</v>
      </c>
    </row>
    <row r="12" spans="3:8" ht="17" thickBot="1" x14ac:dyDescent="0.25">
      <c r="C12" t="s">
        <v>98</v>
      </c>
    </row>
    <row r="13" spans="3:8" x14ac:dyDescent="0.2">
      <c r="C13" s="9"/>
      <c r="D13" s="9" t="s">
        <v>103</v>
      </c>
      <c r="E13" s="9" t="s">
        <v>104</v>
      </c>
      <c r="F13" s="9" t="s">
        <v>105</v>
      </c>
      <c r="G13" s="9" t="s">
        <v>106</v>
      </c>
      <c r="H13" s="9" t="s">
        <v>107</v>
      </c>
    </row>
    <row r="14" spans="3:8" x14ac:dyDescent="0.2">
      <c r="C14" s="7" t="s">
        <v>99</v>
      </c>
      <c r="D14" s="7">
        <v>4</v>
      </c>
      <c r="E14" s="7">
        <v>0.28146155334644796</v>
      </c>
      <c r="F14" s="7">
        <v>7.0365388336611989E-2</v>
      </c>
      <c r="G14" s="7">
        <v>3.2208983845820103</v>
      </c>
      <c r="H14" s="7">
        <v>2.9097546562896905E-2</v>
      </c>
    </row>
    <row r="15" spans="3:8" x14ac:dyDescent="0.2">
      <c r="C15" s="7" t="s">
        <v>100</v>
      </c>
      <c r="D15" s="7">
        <v>25</v>
      </c>
      <c r="E15" s="7">
        <v>0.54616274665355213</v>
      </c>
      <c r="F15" s="7">
        <v>2.1846509866142085E-2</v>
      </c>
      <c r="G15" s="7"/>
      <c r="H15" s="7"/>
    </row>
    <row r="16" spans="3:8" ht="17" thickBot="1" x14ac:dyDescent="0.25">
      <c r="C16" s="8" t="s">
        <v>101</v>
      </c>
      <c r="D16" s="8">
        <v>29</v>
      </c>
      <c r="E16" s="8">
        <v>0.82762430000000009</v>
      </c>
      <c r="F16" s="8"/>
      <c r="G16" s="8"/>
      <c r="H16" s="8"/>
    </row>
    <row r="17" spans="3:11" ht="17" thickBot="1" x14ac:dyDescent="0.25"/>
    <row r="18" spans="3:11" x14ac:dyDescent="0.2">
      <c r="C18" s="9"/>
      <c r="D18" s="9" t="s">
        <v>108</v>
      </c>
      <c r="E18" s="9" t="s">
        <v>96</v>
      </c>
      <c r="F18" s="9" t="s">
        <v>109</v>
      </c>
      <c r="G18" s="9" t="s">
        <v>110</v>
      </c>
      <c r="H18" s="9" t="s">
        <v>111</v>
      </c>
      <c r="I18" s="9" t="s">
        <v>112</v>
      </c>
      <c r="J18" s="9" t="s">
        <v>113</v>
      </c>
      <c r="K18" s="9" t="s">
        <v>114</v>
      </c>
    </row>
    <row r="19" spans="3:11" x14ac:dyDescent="0.2">
      <c r="C19" s="7" t="s">
        <v>102</v>
      </c>
      <c r="D19" s="7">
        <v>-0.87961384005703447</v>
      </c>
      <c r="E19" s="7">
        <v>0.4419884627746829</v>
      </c>
      <c r="F19" s="7">
        <v>-1.9901285081856186</v>
      </c>
      <c r="G19" s="7">
        <v>5.7618521719429473E-2</v>
      </c>
      <c r="H19" s="7">
        <v>-1.7899061190136596</v>
      </c>
      <c r="I19" s="7">
        <v>3.0678438899590765E-2</v>
      </c>
      <c r="J19" s="7">
        <v>-1.7899061190136596</v>
      </c>
      <c r="K19" s="7">
        <v>3.0678438899590765E-2</v>
      </c>
    </row>
    <row r="20" spans="3:11" x14ac:dyDescent="0.2">
      <c r="C20" s="7" t="s">
        <v>85</v>
      </c>
      <c r="D20" s="7">
        <v>1.8564836617889124</v>
      </c>
      <c r="E20" s="7">
        <v>1.1598500238394389</v>
      </c>
      <c r="F20" s="7">
        <v>1.6006238941509134</v>
      </c>
      <c r="G20" s="7">
        <v>0.12202271923065891</v>
      </c>
      <c r="H20" s="7">
        <v>-0.53227217772024327</v>
      </c>
      <c r="I20" s="7">
        <v>4.2452395012980677</v>
      </c>
      <c r="J20" s="7">
        <v>-0.53227217772024327</v>
      </c>
      <c r="K20" s="7">
        <v>4.2452395012980677</v>
      </c>
    </row>
    <row r="21" spans="3:11" x14ac:dyDescent="0.2">
      <c r="C21" s="7" t="s">
        <v>36</v>
      </c>
      <c r="D21" s="7">
        <v>0.91958349666208772</v>
      </c>
      <c r="E21" s="7">
        <v>0.73406371060301734</v>
      </c>
      <c r="F21" s="7">
        <v>1.2527298153816511</v>
      </c>
      <c r="G21" s="7">
        <v>0.22189578761971906</v>
      </c>
      <c r="H21" s="7">
        <v>-0.59224901550196618</v>
      </c>
      <c r="I21" s="7">
        <v>2.4314160088261416</v>
      </c>
      <c r="J21" s="7">
        <v>-0.59224901550196618</v>
      </c>
      <c r="K21" s="7">
        <v>2.4314160088261416</v>
      </c>
    </row>
    <row r="22" spans="3:11" x14ac:dyDescent="0.2">
      <c r="C22" s="7" t="s">
        <v>39</v>
      </c>
      <c r="D22" s="7">
        <v>1.5138613400460956E-2</v>
      </c>
      <c r="E22" s="7">
        <v>0.50431637115006123</v>
      </c>
      <c r="F22" s="7">
        <v>3.0018088379598538E-2</v>
      </c>
      <c r="G22" s="7">
        <v>0.97629098683543669</v>
      </c>
      <c r="H22" s="7">
        <v>-1.023520395767731</v>
      </c>
      <c r="I22" s="7">
        <v>1.0537976225686529</v>
      </c>
      <c r="J22" s="7">
        <v>-1.023520395767731</v>
      </c>
      <c r="K22" s="7">
        <v>1.0537976225686529</v>
      </c>
    </row>
    <row r="23" spans="3:11" ht="17" thickBot="1" x14ac:dyDescent="0.25">
      <c r="C23" s="8" t="s">
        <v>42</v>
      </c>
      <c r="D23" s="8">
        <v>0.68712416885264804</v>
      </c>
      <c r="E23" s="8">
        <v>0.35421067005561052</v>
      </c>
      <c r="F23" s="8">
        <v>1.9398742808757585</v>
      </c>
      <c r="G23" s="8">
        <v>6.3756298053763372E-2</v>
      </c>
      <c r="H23" s="8">
        <v>-4.2386361923459903E-2</v>
      </c>
      <c r="I23" s="8">
        <v>1.416634699628756</v>
      </c>
      <c r="J23" s="8">
        <v>-4.2386361923459903E-2</v>
      </c>
      <c r="K23" s="8">
        <v>1.416634699628756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9F53-2EA8-A747-9086-A9D0A11117A6}">
  <dimension ref="A1:I19"/>
  <sheetViews>
    <sheetView workbookViewId="0">
      <selection activeCell="A16" sqref="A16:I19"/>
    </sheetView>
  </sheetViews>
  <sheetFormatPr baseColWidth="10" defaultRowHeight="16" x14ac:dyDescent="0.2"/>
  <sheetData>
    <row r="1" spans="1:9" x14ac:dyDescent="0.2">
      <c r="A1" t="s">
        <v>91</v>
      </c>
    </row>
    <row r="2" spans="1:9" ht="17" thickBot="1" x14ac:dyDescent="0.25"/>
    <row r="3" spans="1:9" x14ac:dyDescent="0.2">
      <c r="A3" s="10" t="s">
        <v>92</v>
      </c>
      <c r="B3" s="10"/>
    </row>
    <row r="4" spans="1:9" x14ac:dyDescent="0.2">
      <c r="A4" s="7" t="s">
        <v>93</v>
      </c>
      <c r="B4" s="7">
        <v>0.56941725630720985</v>
      </c>
    </row>
    <row r="5" spans="1:9" x14ac:dyDescent="0.2">
      <c r="A5" s="7" t="s">
        <v>94</v>
      </c>
      <c r="B5" s="7">
        <v>0.32423601178043066</v>
      </c>
    </row>
    <row r="6" spans="1:9" x14ac:dyDescent="0.2">
      <c r="A6" s="7" t="s">
        <v>95</v>
      </c>
      <c r="B6" s="7">
        <v>0.27417942006046259</v>
      </c>
    </row>
    <row r="7" spans="1:9" x14ac:dyDescent="0.2">
      <c r="A7" s="7" t="s">
        <v>96</v>
      </c>
      <c r="B7" s="7">
        <v>3.3984885262207336</v>
      </c>
    </row>
    <row r="8" spans="1:9" ht="17" thickBot="1" x14ac:dyDescent="0.25">
      <c r="A8" s="8" t="s">
        <v>97</v>
      </c>
      <c r="B8" s="8">
        <v>30</v>
      </c>
    </row>
    <row r="10" spans="1:9" ht="17" thickBot="1" x14ac:dyDescent="0.25">
      <c r="A10" t="s">
        <v>98</v>
      </c>
    </row>
    <row r="11" spans="1:9" x14ac:dyDescent="0.2">
      <c r="A11" s="9"/>
      <c r="B11" s="9" t="s">
        <v>103</v>
      </c>
      <c r="C11" s="9" t="s">
        <v>104</v>
      </c>
      <c r="D11" s="9" t="s">
        <v>105</v>
      </c>
      <c r="E11" s="9" t="s">
        <v>106</v>
      </c>
      <c r="F11" s="9" t="s">
        <v>107</v>
      </c>
    </row>
    <row r="12" spans="1:9" x14ac:dyDescent="0.2">
      <c r="A12" s="7" t="s">
        <v>99</v>
      </c>
      <c r="B12" s="7">
        <v>2</v>
      </c>
      <c r="C12" s="7">
        <v>149.6241115696094</v>
      </c>
      <c r="D12" s="7">
        <v>74.812055784804699</v>
      </c>
      <c r="E12" s="7">
        <v>6.4773889040289863</v>
      </c>
      <c r="F12" s="7">
        <v>5.0377092422413516E-3</v>
      </c>
    </row>
    <row r="13" spans="1:9" x14ac:dyDescent="0.2">
      <c r="A13" s="7" t="s">
        <v>100</v>
      </c>
      <c r="B13" s="7">
        <v>27</v>
      </c>
      <c r="C13" s="7">
        <v>311.8425550970573</v>
      </c>
      <c r="D13" s="7">
        <v>11.549724262853974</v>
      </c>
      <c r="E13" s="7"/>
      <c r="F13" s="7"/>
    </row>
    <row r="14" spans="1:9" ht="17" thickBot="1" x14ac:dyDescent="0.25">
      <c r="A14" s="8" t="s">
        <v>101</v>
      </c>
      <c r="B14" s="8">
        <v>29</v>
      </c>
      <c r="C14" s="8">
        <v>461.4666666666667</v>
      </c>
      <c r="D14" s="8"/>
      <c r="E14" s="8"/>
      <c r="F14" s="8"/>
    </row>
    <row r="16" spans="1:9" x14ac:dyDescent="0.2">
      <c r="B16" t="s">
        <v>108</v>
      </c>
      <c r="C16" t="s">
        <v>96</v>
      </c>
      <c r="D16" t="s">
        <v>109</v>
      </c>
      <c r="E16" t="s">
        <v>110</v>
      </c>
      <c r="F16" t="s">
        <v>111</v>
      </c>
      <c r="G16" t="s">
        <v>112</v>
      </c>
      <c r="H16" t="s">
        <v>113</v>
      </c>
      <c r="I16" t="s">
        <v>114</v>
      </c>
    </row>
    <row r="17" spans="1:9" x14ac:dyDescent="0.2">
      <c r="A17" t="s">
        <v>102</v>
      </c>
      <c r="B17">
        <v>2.8628485864464803</v>
      </c>
      <c r="C17">
        <v>15.280563965647376</v>
      </c>
      <c r="D17">
        <v>0.18735228574563889</v>
      </c>
      <c r="E17">
        <v>0.85278524158067992</v>
      </c>
      <c r="F17">
        <v>-28.490278867297825</v>
      </c>
      <c r="G17">
        <v>34.215976040190782</v>
      </c>
      <c r="H17">
        <v>-28.490278867297825</v>
      </c>
      <c r="I17">
        <v>34.215976040190782</v>
      </c>
    </row>
    <row r="18" spans="1:9" x14ac:dyDescent="0.2">
      <c r="A18" t="s">
        <v>32</v>
      </c>
      <c r="B18">
        <v>-0.21482024451134454</v>
      </c>
      <c r="C18">
        <v>0.424671649532119</v>
      </c>
      <c r="D18">
        <v>-0.50585021333075153</v>
      </c>
      <c r="E18">
        <v>0.61706706004962153</v>
      </c>
      <c r="F18">
        <v>-1.0861744945053673</v>
      </c>
      <c r="G18">
        <v>0.65653400548267815</v>
      </c>
      <c r="H18">
        <v>-1.0861744945053673</v>
      </c>
      <c r="I18">
        <v>0.65653400548267815</v>
      </c>
    </row>
    <row r="19" spans="1:9" x14ac:dyDescent="0.2">
      <c r="A19" t="s">
        <v>33</v>
      </c>
      <c r="B19">
        <v>0.6930879252111819</v>
      </c>
      <c r="C19">
        <v>0.19438762536694437</v>
      </c>
      <c r="D19">
        <v>3.5654940683741772</v>
      </c>
      <c r="E19">
        <v>1.3797687509990487E-3</v>
      </c>
      <c r="F19">
        <v>0.29423746345714807</v>
      </c>
      <c r="G19">
        <v>1.0919383869652157</v>
      </c>
      <c r="H19">
        <v>0.29423746345714807</v>
      </c>
      <c r="I19">
        <v>1.0919383869652157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EE404-7AA8-7342-90E3-54F219CC8873}">
  <dimension ref="B2:J56"/>
  <sheetViews>
    <sheetView topLeftCell="A10" zoomScale="96" workbookViewId="0">
      <selection activeCell="M1" sqref="M1"/>
    </sheetView>
  </sheetViews>
  <sheetFormatPr baseColWidth="10" defaultRowHeight="16" x14ac:dyDescent="0.2"/>
  <cols>
    <col min="3" max="3" width="14" customWidth="1"/>
  </cols>
  <sheetData>
    <row r="2" spans="2:7" x14ac:dyDescent="0.2">
      <c r="B2" t="s">
        <v>91</v>
      </c>
    </row>
    <row r="3" spans="2:7" ht="17" thickBot="1" x14ac:dyDescent="0.25"/>
    <row r="4" spans="2:7" x14ac:dyDescent="0.2">
      <c r="B4" s="10" t="s">
        <v>92</v>
      </c>
      <c r="C4" s="10"/>
    </row>
    <row r="5" spans="2:7" x14ac:dyDescent="0.2">
      <c r="B5" s="7" t="s">
        <v>93</v>
      </c>
      <c r="C5" s="7">
        <v>0.81730894682751831</v>
      </c>
    </row>
    <row r="6" spans="2:7" x14ac:dyDescent="0.2">
      <c r="B6" s="7" t="s">
        <v>94</v>
      </c>
      <c r="C6" s="7">
        <v>0.66799391456430723</v>
      </c>
    </row>
    <row r="7" spans="2:7" x14ac:dyDescent="0.2">
      <c r="B7" s="7" t="s">
        <v>95</v>
      </c>
      <c r="C7" s="7">
        <v>0.64340087119870037</v>
      </c>
    </row>
    <row r="8" spans="2:7" x14ac:dyDescent="0.2">
      <c r="B8" s="7" t="s">
        <v>96</v>
      </c>
      <c r="C8" s="7">
        <v>10.088062326415821</v>
      </c>
    </row>
    <row r="9" spans="2:7" ht="17" thickBot="1" x14ac:dyDescent="0.25">
      <c r="B9" s="8" t="s">
        <v>97</v>
      </c>
      <c r="C9" s="8">
        <v>30</v>
      </c>
    </row>
    <row r="11" spans="2:7" ht="17" thickBot="1" x14ac:dyDescent="0.25">
      <c r="B11" t="s">
        <v>98</v>
      </c>
    </row>
    <row r="12" spans="2:7" x14ac:dyDescent="0.2">
      <c r="B12" s="9"/>
      <c r="C12" s="9" t="s">
        <v>103</v>
      </c>
      <c r="D12" s="9" t="s">
        <v>104</v>
      </c>
      <c r="E12" s="9" t="s">
        <v>105</v>
      </c>
      <c r="F12" s="9" t="s">
        <v>106</v>
      </c>
      <c r="G12" s="9" t="s">
        <v>107</v>
      </c>
    </row>
    <row r="13" spans="2:7" x14ac:dyDescent="0.2">
      <c r="B13" s="7" t="s">
        <v>99</v>
      </c>
      <c r="C13" s="7">
        <v>2</v>
      </c>
      <c r="D13" s="7">
        <v>5528.4799594554461</v>
      </c>
      <c r="E13" s="7">
        <v>2764.239979727723</v>
      </c>
      <c r="F13" s="7">
        <v>27.161905284910365</v>
      </c>
      <c r="G13" s="7">
        <v>3.4314019613284453E-7</v>
      </c>
    </row>
    <row r="14" spans="2:7" x14ac:dyDescent="0.2">
      <c r="B14" s="7" t="s">
        <v>100</v>
      </c>
      <c r="C14" s="7">
        <v>27</v>
      </c>
      <c r="D14" s="7">
        <v>2747.7630405445548</v>
      </c>
      <c r="E14" s="7">
        <v>101.76900150165018</v>
      </c>
      <c r="F14" s="7"/>
      <c r="G14" s="7"/>
    </row>
    <row r="15" spans="2:7" ht="17" thickBot="1" x14ac:dyDescent="0.25">
      <c r="B15" s="8" t="s">
        <v>101</v>
      </c>
      <c r="C15" s="8">
        <v>29</v>
      </c>
      <c r="D15" s="8">
        <v>8276.2430000000004</v>
      </c>
      <c r="E15" s="8"/>
      <c r="F15" s="8"/>
      <c r="G15" s="8"/>
    </row>
    <row r="16" spans="2:7" ht="17" thickBot="1" x14ac:dyDescent="0.25"/>
    <row r="17" spans="2:10" x14ac:dyDescent="0.2">
      <c r="B17" s="9"/>
      <c r="C17" s="9" t="s">
        <v>108</v>
      </c>
      <c r="D17" s="9" t="s">
        <v>96</v>
      </c>
      <c r="E17" s="9" t="s">
        <v>109</v>
      </c>
      <c r="F17" s="9" t="s">
        <v>110</v>
      </c>
      <c r="G17" s="9" t="s">
        <v>111</v>
      </c>
      <c r="H17" s="9" t="s">
        <v>112</v>
      </c>
      <c r="I17" s="9" t="s">
        <v>113</v>
      </c>
      <c r="J17" s="9" t="s">
        <v>114</v>
      </c>
    </row>
    <row r="18" spans="2:10" x14ac:dyDescent="0.2">
      <c r="B18" s="7" t="s">
        <v>102</v>
      </c>
      <c r="C18" s="7">
        <v>-249.4620623430578</v>
      </c>
      <c r="D18" s="7">
        <v>49.726729735735347</v>
      </c>
      <c r="E18" s="7">
        <v>-5.0166593232409111</v>
      </c>
      <c r="F18" s="7">
        <v>2.9122380211233567E-5</v>
      </c>
      <c r="G18" s="7">
        <v>-351.49288389960725</v>
      </c>
      <c r="H18" s="7">
        <v>-147.43124078650834</v>
      </c>
      <c r="I18" s="7">
        <v>-351.49288389960725</v>
      </c>
      <c r="J18" s="7">
        <v>-147.43124078650834</v>
      </c>
    </row>
    <row r="19" spans="2:10" x14ac:dyDescent="0.2">
      <c r="B19" s="7" t="s">
        <v>33</v>
      </c>
      <c r="C19" s="7">
        <v>2.0830907969647368</v>
      </c>
      <c r="D19" s="7">
        <v>0.630129280826913</v>
      </c>
      <c r="E19" s="7">
        <v>3.3058149499593408</v>
      </c>
      <c r="F19" s="7">
        <v>2.6809688650015033E-3</v>
      </c>
      <c r="G19" s="7">
        <v>0.79017230923630066</v>
      </c>
      <c r="H19" s="7">
        <v>3.3760092846931729</v>
      </c>
      <c r="I19" s="7">
        <v>0.79017230923630066</v>
      </c>
      <c r="J19" s="7">
        <v>3.3760092846931729</v>
      </c>
    </row>
    <row r="20" spans="2:10" ht="17" thickBot="1" x14ac:dyDescent="0.25">
      <c r="B20" s="8" t="s">
        <v>84</v>
      </c>
      <c r="C20" s="8">
        <v>2.3523664599991179</v>
      </c>
      <c r="D20" s="8">
        <v>0.50009511279358432</v>
      </c>
      <c r="E20" s="8">
        <v>4.7038381296280809</v>
      </c>
      <c r="F20" s="8">
        <v>6.7511595976891764E-5</v>
      </c>
      <c r="G20" s="8">
        <v>1.3262560464265909</v>
      </c>
      <c r="H20" s="8">
        <v>3.3784768735716448</v>
      </c>
      <c r="I20" s="8">
        <v>1.3262560464265909</v>
      </c>
      <c r="J20" s="8">
        <v>3.3784768735716448</v>
      </c>
    </row>
    <row r="24" spans="2:10" x14ac:dyDescent="0.2">
      <c r="B24" t="s">
        <v>129</v>
      </c>
    </row>
    <row r="26" spans="2:10" x14ac:dyDescent="0.2">
      <c r="B26" t="s">
        <v>130</v>
      </c>
      <c r="C26" t="s">
        <v>134</v>
      </c>
      <c r="D26" t="s">
        <v>132</v>
      </c>
    </row>
    <row r="27" spans="2:10" x14ac:dyDescent="0.2">
      <c r="B27">
        <v>1</v>
      </c>
      <c r="C27">
        <v>67.933698466037015</v>
      </c>
      <c r="D27">
        <v>3.4663015339629766</v>
      </c>
    </row>
    <row r="28" spans="2:10" x14ac:dyDescent="0.2">
      <c r="B28">
        <v>2</v>
      </c>
      <c r="C28">
        <v>74.500508438462077</v>
      </c>
      <c r="D28">
        <v>11.199491561537926</v>
      </c>
    </row>
    <row r="29" spans="2:10" x14ac:dyDescent="0.2">
      <c r="B29">
        <v>3</v>
      </c>
      <c r="C29">
        <v>68.202974129071379</v>
      </c>
      <c r="D29">
        <v>-4.6029741290713773</v>
      </c>
    </row>
    <row r="30" spans="2:10" x14ac:dyDescent="0.2">
      <c r="B30">
        <v>4</v>
      </c>
      <c r="C30">
        <v>65.259719447017318</v>
      </c>
      <c r="D30">
        <v>-10.759719447017311</v>
      </c>
    </row>
    <row r="31" spans="2:10" x14ac:dyDescent="0.2">
      <c r="B31">
        <v>5</v>
      </c>
      <c r="C31">
        <v>61.133170084232603</v>
      </c>
      <c r="D31">
        <v>2.4668299157673985</v>
      </c>
    </row>
    <row r="32" spans="2:10" x14ac:dyDescent="0.2">
      <c r="B32">
        <v>6</v>
      </c>
      <c r="C32">
        <v>52.899887474235726</v>
      </c>
      <c r="D32">
        <v>-2.8998874742357259</v>
      </c>
    </row>
    <row r="33" spans="2:4" x14ac:dyDescent="0.2">
      <c r="B33">
        <v>7</v>
      </c>
      <c r="C33">
        <v>47.778536394844565</v>
      </c>
      <c r="D33">
        <v>-0.17853639484457062</v>
      </c>
    </row>
    <row r="34" spans="2:4" x14ac:dyDescent="0.2">
      <c r="B34">
        <v>8</v>
      </c>
      <c r="C34">
        <v>53.215906819145971</v>
      </c>
      <c r="D34">
        <v>1.7840931808540361</v>
      </c>
    </row>
    <row r="35" spans="2:4" x14ac:dyDescent="0.2">
      <c r="B35">
        <v>9</v>
      </c>
      <c r="C35">
        <v>51.421907800788006</v>
      </c>
      <c r="D35">
        <v>3.0780921992120014</v>
      </c>
    </row>
    <row r="36" spans="2:4" x14ac:dyDescent="0.2">
      <c r="B36">
        <v>10</v>
      </c>
      <c r="C36">
        <v>63.681140959086832</v>
      </c>
      <c r="D36">
        <v>-11.481140959086829</v>
      </c>
    </row>
    <row r="37" spans="2:4" x14ac:dyDescent="0.2">
      <c r="B37">
        <v>11</v>
      </c>
      <c r="C37">
        <v>59.50073646369529</v>
      </c>
      <c r="D37">
        <v>-7.1007364636952843</v>
      </c>
    </row>
    <row r="38" spans="2:4" x14ac:dyDescent="0.2">
      <c r="B38">
        <v>12</v>
      </c>
      <c r="C38">
        <v>54.587694464000606</v>
      </c>
      <c r="D38">
        <v>-4.5876944640006059</v>
      </c>
    </row>
    <row r="39" spans="2:4" x14ac:dyDescent="0.2">
      <c r="B39">
        <v>13</v>
      </c>
      <c r="C39">
        <v>53.048748207214999</v>
      </c>
      <c r="D39">
        <v>6.0512517927849956</v>
      </c>
    </row>
    <row r="40" spans="2:4" x14ac:dyDescent="0.2">
      <c r="B40">
        <v>14</v>
      </c>
      <c r="C40">
        <v>62.801160958425129</v>
      </c>
      <c r="D40">
        <v>22.898839041574874</v>
      </c>
    </row>
    <row r="41" spans="2:4" x14ac:dyDescent="0.2">
      <c r="B41">
        <v>15</v>
      </c>
      <c r="C41">
        <v>64.918290772424285</v>
      </c>
      <c r="D41">
        <v>1.7817092275757176</v>
      </c>
    </row>
    <row r="42" spans="2:4" x14ac:dyDescent="0.2">
      <c r="B42">
        <v>16</v>
      </c>
      <c r="C42">
        <v>47.645416799948066</v>
      </c>
      <c r="D42">
        <v>15.954583200051935</v>
      </c>
    </row>
    <row r="43" spans="2:4" x14ac:dyDescent="0.2">
      <c r="B43">
        <v>17</v>
      </c>
      <c r="C43">
        <v>38.243062410682597</v>
      </c>
      <c r="D43">
        <v>-13.243062410682597</v>
      </c>
    </row>
    <row r="44" spans="2:4" x14ac:dyDescent="0.2">
      <c r="B44">
        <v>18</v>
      </c>
      <c r="C44">
        <v>55.025646975586653</v>
      </c>
      <c r="D44">
        <v>-5.0256469755866533</v>
      </c>
    </row>
    <row r="45" spans="2:4" x14ac:dyDescent="0.2">
      <c r="B45">
        <v>19</v>
      </c>
      <c r="C45">
        <v>27.583742092507293</v>
      </c>
      <c r="D45">
        <v>1.0162579074927045</v>
      </c>
    </row>
    <row r="46" spans="2:4" x14ac:dyDescent="0.2">
      <c r="B46">
        <v>20</v>
      </c>
      <c r="C46">
        <v>46.927002197106958</v>
      </c>
      <c r="D46">
        <v>-9.4270021971069582</v>
      </c>
    </row>
    <row r="47" spans="2:4" x14ac:dyDescent="0.2">
      <c r="B47">
        <v>21</v>
      </c>
      <c r="C47">
        <v>51.584991435229313</v>
      </c>
      <c r="D47">
        <v>-12.484991435229311</v>
      </c>
    </row>
    <row r="48" spans="2:4" x14ac:dyDescent="0.2">
      <c r="B48">
        <v>22</v>
      </c>
      <c r="C48">
        <v>62.486659850135624</v>
      </c>
      <c r="D48">
        <v>-8.2866598501356208</v>
      </c>
    </row>
    <row r="49" spans="2:4" x14ac:dyDescent="0.2">
      <c r="B49">
        <v>23</v>
      </c>
      <c r="C49">
        <v>27.228090516452255</v>
      </c>
      <c r="D49">
        <v>-5.5280905164522558</v>
      </c>
    </row>
    <row r="50" spans="2:4" x14ac:dyDescent="0.2">
      <c r="B50">
        <v>24</v>
      </c>
      <c r="C50">
        <v>39.460396108447668</v>
      </c>
      <c r="D50">
        <v>1.4396038915523306</v>
      </c>
    </row>
    <row r="51" spans="2:4" x14ac:dyDescent="0.2">
      <c r="B51">
        <v>25</v>
      </c>
      <c r="C51">
        <v>23.336777799667487</v>
      </c>
      <c r="D51">
        <v>-4.3367777996674874</v>
      </c>
    </row>
    <row r="52" spans="2:4" x14ac:dyDescent="0.2">
      <c r="B52">
        <v>26</v>
      </c>
      <c r="C52">
        <v>41.476927107964144</v>
      </c>
      <c r="D52">
        <v>10.923072892035862</v>
      </c>
    </row>
    <row r="53" spans="2:4" x14ac:dyDescent="0.2">
      <c r="B53">
        <v>27</v>
      </c>
      <c r="C53">
        <v>42.498656390874118</v>
      </c>
      <c r="D53">
        <v>-10.898656390874116</v>
      </c>
    </row>
    <row r="54" spans="2:4" x14ac:dyDescent="0.2">
      <c r="B54">
        <v>28</v>
      </c>
      <c r="C54">
        <v>33.485992594698217</v>
      </c>
      <c r="D54">
        <v>21.01400740530179</v>
      </c>
    </row>
    <row r="55" spans="2:4" x14ac:dyDescent="0.2">
      <c r="B55">
        <v>29</v>
      </c>
      <c r="C55">
        <v>37.519054593731141</v>
      </c>
      <c r="D55">
        <v>12.480945406268859</v>
      </c>
    </row>
    <row r="56" spans="2:4" x14ac:dyDescent="0.2">
      <c r="B56">
        <v>30</v>
      </c>
      <c r="C56">
        <v>28.513502248286244</v>
      </c>
      <c r="D56">
        <v>-4.7135022482862468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867F-A8D1-AC47-BF18-243CC6D7E5A5}">
  <dimension ref="A1:I55"/>
  <sheetViews>
    <sheetView workbookViewId="0">
      <selection activeCell="O15" sqref="O15"/>
    </sheetView>
  </sheetViews>
  <sheetFormatPr baseColWidth="10" defaultRowHeight="16" x14ac:dyDescent="0.2"/>
  <sheetData>
    <row r="1" spans="1:9" x14ac:dyDescent="0.2">
      <c r="A1" t="s">
        <v>91</v>
      </c>
    </row>
    <row r="2" spans="1:9" ht="17" thickBot="1" x14ac:dyDescent="0.25"/>
    <row r="3" spans="1:9" x14ac:dyDescent="0.2">
      <c r="A3" s="10" t="s">
        <v>92</v>
      </c>
      <c r="B3" s="10"/>
    </row>
    <row r="4" spans="1:9" x14ac:dyDescent="0.2">
      <c r="A4" s="7" t="s">
        <v>93</v>
      </c>
      <c r="B4" s="7">
        <v>0.81572101544048614</v>
      </c>
    </row>
    <row r="5" spans="1:9" x14ac:dyDescent="0.2">
      <c r="A5" s="7" t="s">
        <v>94</v>
      </c>
      <c r="B5" s="7">
        <v>0.66540077503125783</v>
      </c>
    </row>
    <row r="6" spans="1:9" x14ac:dyDescent="0.2">
      <c r="A6" s="7" t="s">
        <v>95</v>
      </c>
      <c r="B6" s="7">
        <v>0.64061564725579545</v>
      </c>
    </row>
    <row r="7" spans="1:9" x14ac:dyDescent="0.2">
      <c r="A7" s="7" t="s">
        <v>96</v>
      </c>
      <c r="B7" s="7">
        <v>2.3913918852260538</v>
      </c>
    </row>
    <row r="8" spans="1:9" ht="17" thickBot="1" x14ac:dyDescent="0.25">
      <c r="A8" s="8" t="s">
        <v>97</v>
      </c>
      <c r="B8" s="8">
        <v>30</v>
      </c>
    </row>
    <row r="10" spans="1:9" ht="17" thickBot="1" x14ac:dyDescent="0.25">
      <c r="A10" t="s">
        <v>98</v>
      </c>
    </row>
    <row r="11" spans="1:9" x14ac:dyDescent="0.2">
      <c r="A11" s="9"/>
      <c r="B11" s="9" t="s">
        <v>103</v>
      </c>
      <c r="C11" s="9" t="s">
        <v>104</v>
      </c>
      <c r="D11" s="9" t="s">
        <v>105</v>
      </c>
      <c r="E11" s="9" t="s">
        <v>106</v>
      </c>
      <c r="F11" s="9" t="s">
        <v>107</v>
      </c>
    </row>
    <row r="12" spans="1:9" x14ac:dyDescent="0.2">
      <c r="A12" s="7" t="s">
        <v>99</v>
      </c>
      <c r="B12" s="7">
        <v>2</v>
      </c>
      <c r="C12" s="7">
        <v>307.06027765109116</v>
      </c>
      <c r="D12" s="7">
        <v>153.53013882554558</v>
      </c>
      <c r="E12" s="7">
        <v>26.846776061005986</v>
      </c>
      <c r="F12" s="7">
        <v>3.8114178544411224E-7</v>
      </c>
    </row>
    <row r="13" spans="1:9" x14ac:dyDescent="0.2">
      <c r="A13" s="7" t="s">
        <v>100</v>
      </c>
      <c r="B13" s="7">
        <v>27</v>
      </c>
      <c r="C13" s="7">
        <v>154.40638901557554</v>
      </c>
      <c r="D13" s="7">
        <v>5.7187551487250197</v>
      </c>
      <c r="E13" s="7"/>
      <c r="F13" s="7"/>
    </row>
    <row r="14" spans="1:9" ht="17" thickBot="1" x14ac:dyDescent="0.25">
      <c r="A14" s="8" t="s">
        <v>101</v>
      </c>
      <c r="B14" s="8">
        <v>29</v>
      </c>
      <c r="C14" s="8">
        <v>461.4666666666667</v>
      </c>
      <c r="D14" s="8"/>
      <c r="E14" s="8"/>
      <c r="F14" s="8"/>
    </row>
    <row r="15" spans="1:9" ht="17" thickBot="1" x14ac:dyDescent="0.25"/>
    <row r="16" spans="1:9" x14ac:dyDescent="0.2">
      <c r="A16" s="9"/>
      <c r="B16" s="9" t="s">
        <v>108</v>
      </c>
      <c r="C16" s="9" t="s">
        <v>96</v>
      </c>
      <c r="D16" s="9" t="s">
        <v>109</v>
      </c>
      <c r="E16" s="9" t="s">
        <v>110</v>
      </c>
      <c r="F16" s="9" t="s">
        <v>111</v>
      </c>
      <c r="G16" s="9" t="s">
        <v>112</v>
      </c>
      <c r="H16" s="9" t="s">
        <v>113</v>
      </c>
      <c r="I16" s="9" t="s">
        <v>114</v>
      </c>
    </row>
    <row r="17" spans="1:9" x14ac:dyDescent="0.2">
      <c r="A17" s="7" t="s">
        <v>102</v>
      </c>
      <c r="B17" s="7">
        <v>-64.727879773725206</v>
      </c>
      <c r="C17" s="7">
        <v>11.787803655562486</v>
      </c>
      <c r="D17" s="7">
        <v>-5.4910890667220347</v>
      </c>
      <c r="E17" s="7">
        <v>8.1660747603766539E-6</v>
      </c>
      <c r="F17" s="7">
        <v>-88.914455036486189</v>
      </c>
      <c r="G17" s="7">
        <v>-40.541304510964224</v>
      </c>
      <c r="H17" s="7">
        <v>-88.914455036486189</v>
      </c>
      <c r="I17" s="7">
        <v>-40.541304510964224</v>
      </c>
    </row>
    <row r="18" spans="1:9" x14ac:dyDescent="0.2">
      <c r="A18" s="7" t="s">
        <v>33</v>
      </c>
      <c r="B18" s="7">
        <v>0.37482183652185003</v>
      </c>
      <c r="C18" s="7">
        <v>0.14937318982129932</v>
      </c>
      <c r="D18" s="7">
        <v>2.509297933385926</v>
      </c>
      <c r="E18" s="7">
        <v>1.8399725836690549E-2</v>
      </c>
      <c r="F18" s="7">
        <v>6.8333367302505665E-2</v>
      </c>
      <c r="G18" s="7">
        <v>0.68131030574119444</v>
      </c>
      <c r="H18" s="7">
        <v>6.8333367302505665E-2</v>
      </c>
      <c r="I18" s="7">
        <v>0.68131030574119444</v>
      </c>
    </row>
    <row r="19" spans="1:9" ht="17" thickBot="1" x14ac:dyDescent="0.25">
      <c r="A19" s="8" t="s">
        <v>84</v>
      </c>
      <c r="B19" s="8">
        <v>0.6278206705586139</v>
      </c>
      <c r="C19" s="8">
        <v>0.11854837488902432</v>
      </c>
      <c r="D19" s="8">
        <v>5.2959028004081059</v>
      </c>
      <c r="E19" s="8">
        <v>1.3764761014561386E-5</v>
      </c>
      <c r="F19" s="8">
        <v>0.38457949728216856</v>
      </c>
      <c r="G19" s="8">
        <v>0.87106184383505925</v>
      </c>
      <c r="H19" s="8">
        <v>0.38457949728216856</v>
      </c>
      <c r="I19" s="8">
        <v>0.87106184383505925</v>
      </c>
    </row>
    <row r="23" spans="1:9" x14ac:dyDescent="0.2">
      <c r="A23" t="s">
        <v>129</v>
      </c>
    </row>
    <row r="24" spans="1:9" ht="17" thickBot="1" x14ac:dyDescent="0.25"/>
    <row r="25" spans="1:9" x14ac:dyDescent="0.2">
      <c r="A25" s="9" t="s">
        <v>130</v>
      </c>
      <c r="B25" s="9" t="s">
        <v>131</v>
      </c>
      <c r="C25" s="9" t="s">
        <v>132</v>
      </c>
    </row>
    <row r="26" spans="1:9" x14ac:dyDescent="0.2">
      <c r="A26" s="7">
        <v>1</v>
      </c>
      <c r="B26" s="7">
        <v>14.801170244023787</v>
      </c>
      <c r="C26" s="7">
        <v>0.19882975597621311</v>
      </c>
    </row>
    <row r="27" spans="1:9" x14ac:dyDescent="0.2">
      <c r="A27" s="7">
        <v>2</v>
      </c>
      <c r="B27" s="7">
        <v>16.698685121761457</v>
      </c>
      <c r="C27" s="7">
        <v>1.3013148782385429</v>
      </c>
    </row>
    <row r="28" spans="1:9" x14ac:dyDescent="0.2">
      <c r="A28" s="7">
        <v>3</v>
      </c>
      <c r="B28" s="7">
        <v>15.054169078060553</v>
      </c>
      <c r="C28" s="7">
        <v>-1.0541690780605535</v>
      </c>
    </row>
    <row r="29" spans="1:9" x14ac:dyDescent="0.2">
      <c r="A29" s="7">
        <v>4</v>
      </c>
      <c r="B29" s="7">
        <v>14.504118623526281</v>
      </c>
      <c r="C29" s="7">
        <v>-2.5041186235262813</v>
      </c>
    </row>
    <row r="30" spans="1:9" x14ac:dyDescent="0.2">
      <c r="A30" s="7">
        <v>5</v>
      </c>
      <c r="B30" s="7">
        <v>13.475240950135486</v>
      </c>
      <c r="C30" s="7">
        <v>0.52475904986451383</v>
      </c>
    </row>
    <row r="31" spans="1:9" x14ac:dyDescent="0.2">
      <c r="A31" s="7">
        <v>6</v>
      </c>
      <c r="B31" s="7">
        <v>11.277868603180337</v>
      </c>
      <c r="C31" s="7">
        <v>-0.27786860318033746</v>
      </c>
    </row>
    <row r="32" spans="1:9" x14ac:dyDescent="0.2">
      <c r="A32" s="7">
        <v>7</v>
      </c>
      <c r="B32" s="7">
        <v>9.9472628947587367</v>
      </c>
      <c r="C32" s="7">
        <v>5.2737105241263293E-2</v>
      </c>
    </row>
    <row r="33" spans="1:3" x14ac:dyDescent="0.2">
      <c r="A33" s="7">
        <v>8</v>
      </c>
      <c r="B33" s="7">
        <v>11.416550320447222</v>
      </c>
      <c r="C33" s="7">
        <v>-0.41655032044722162</v>
      </c>
    </row>
    <row r="34" spans="1:3" x14ac:dyDescent="0.2">
      <c r="A34" s="7">
        <v>9</v>
      </c>
      <c r="B34" s="7">
        <v>11.155110317788591</v>
      </c>
      <c r="C34" s="7">
        <v>0.84488968221140937</v>
      </c>
    </row>
    <row r="35" spans="1:3" x14ac:dyDescent="0.2">
      <c r="A35" s="7">
        <v>10</v>
      </c>
      <c r="B35" s="7">
        <v>14.445077688097058</v>
      </c>
      <c r="C35" s="7">
        <v>-2.4450776880970579</v>
      </c>
    </row>
    <row r="36" spans="1:3" x14ac:dyDescent="0.2">
      <c r="A36" s="7">
        <v>11</v>
      </c>
      <c r="B36" s="7">
        <v>13.365600247898911</v>
      </c>
      <c r="C36" s="7">
        <v>-2.3656002478989109</v>
      </c>
    </row>
    <row r="37" spans="1:3" x14ac:dyDescent="0.2">
      <c r="A37" s="7">
        <v>12</v>
      </c>
      <c r="B37" s="7">
        <v>12.072476723129498</v>
      </c>
      <c r="C37" s="7">
        <v>-1.0724767231294976</v>
      </c>
    </row>
    <row r="38" spans="1:3" x14ac:dyDescent="0.2">
      <c r="A38" s="7">
        <v>13</v>
      </c>
      <c r="B38" s="7">
        <v>11.734201787353172</v>
      </c>
      <c r="C38" s="7">
        <v>1.2657982126468283</v>
      </c>
    </row>
    <row r="39" spans="1:3" x14ac:dyDescent="0.2">
      <c r="A39" s="7">
        <v>14</v>
      </c>
      <c r="B39" s="7">
        <v>14.409466070258198</v>
      </c>
      <c r="C39" s="7">
        <v>3.5905339297418024</v>
      </c>
    </row>
    <row r="40" spans="1:3" x14ac:dyDescent="0.2">
      <c r="A40" s="7">
        <v>15</v>
      </c>
      <c r="B40" s="7">
        <v>14.97450467376094</v>
      </c>
      <c r="C40" s="7">
        <v>6.02549532623906</v>
      </c>
    </row>
    <row r="41" spans="1:3" x14ac:dyDescent="0.2">
      <c r="A41" s="7">
        <v>16</v>
      </c>
      <c r="B41" s="7">
        <v>10.455131128645583</v>
      </c>
      <c r="C41" s="7">
        <v>3.5448688713544172</v>
      </c>
    </row>
    <row r="42" spans="1:3" x14ac:dyDescent="0.2">
      <c r="A42" s="7">
        <v>17</v>
      </c>
      <c r="B42" s="7">
        <v>8.1087653299883584</v>
      </c>
      <c r="C42" s="7">
        <v>-2.1087653299883584</v>
      </c>
    </row>
    <row r="43" spans="1:3" x14ac:dyDescent="0.2">
      <c r="A43" s="7">
        <v>18</v>
      </c>
      <c r="B43" s="7">
        <v>12.64219174116554</v>
      </c>
      <c r="C43" s="7">
        <v>-1.64219174116554</v>
      </c>
    </row>
    <row r="44" spans="1:3" x14ac:dyDescent="0.2">
      <c r="A44" s="7">
        <v>19</v>
      </c>
      <c r="B44" s="7">
        <v>5.3725895458407891</v>
      </c>
      <c r="C44" s="7">
        <v>0.62741045415921093</v>
      </c>
    </row>
    <row r="45" spans="1:3" x14ac:dyDescent="0.2">
      <c r="A45" s="7">
        <v>20</v>
      </c>
      <c r="B45" s="7">
        <v>10.571318811228785</v>
      </c>
      <c r="C45" s="7">
        <v>-1.5713188112287853</v>
      </c>
    </row>
    <row r="46" spans="1:3" x14ac:dyDescent="0.2">
      <c r="A46" s="7">
        <v>21</v>
      </c>
      <c r="B46" s="7">
        <v>11.941277269115886</v>
      </c>
      <c r="C46" s="7">
        <v>-2.9412772691158864</v>
      </c>
    </row>
    <row r="47" spans="1:3" x14ac:dyDescent="0.2">
      <c r="A47" s="7">
        <v>22</v>
      </c>
      <c r="B47" s="7">
        <v>14.905152003896532</v>
      </c>
      <c r="C47" s="7">
        <v>-1.9051520038965322</v>
      </c>
    </row>
    <row r="48" spans="1:3" x14ac:dyDescent="0.2">
      <c r="A48" s="7">
        <v>23</v>
      </c>
      <c r="B48" s="7">
        <v>5.5131418289210004</v>
      </c>
      <c r="C48" s="7">
        <v>-0.51314182892100035</v>
      </c>
    </row>
    <row r="49" spans="1:3" x14ac:dyDescent="0.2">
      <c r="A49" s="7">
        <v>24</v>
      </c>
      <c r="B49" s="7">
        <v>8.7778093158257988</v>
      </c>
      <c r="C49" s="7">
        <v>0.22219068417420118</v>
      </c>
    </row>
    <row r="50" spans="1:3" x14ac:dyDescent="0.2">
      <c r="A50" s="7">
        <v>25</v>
      </c>
      <c r="B50" s="7">
        <v>4.5470462225860615</v>
      </c>
      <c r="C50" s="7">
        <v>-0.5470462225860615</v>
      </c>
    </row>
    <row r="51" spans="1:3" x14ac:dyDescent="0.2">
      <c r="A51" s="7">
        <v>26</v>
      </c>
      <c r="B51" s="7">
        <v>9.4065652692910646</v>
      </c>
      <c r="C51" s="7">
        <v>1.5934347307089354</v>
      </c>
    </row>
    <row r="52" spans="1:3" x14ac:dyDescent="0.2">
      <c r="A52" s="7">
        <v>27</v>
      </c>
      <c r="B52" s="7">
        <v>9.7335931877255462</v>
      </c>
      <c r="C52" s="7">
        <v>-3.7335931877255462</v>
      </c>
    </row>
    <row r="53" spans="1:3" x14ac:dyDescent="0.2">
      <c r="A53" s="7">
        <v>28</v>
      </c>
      <c r="B53" s="7">
        <v>7.4368918729690137</v>
      </c>
      <c r="C53" s="7">
        <v>4.5631081270309863</v>
      </c>
    </row>
    <row r="54" spans="1:3" x14ac:dyDescent="0.2">
      <c r="A54" s="7">
        <v>29</v>
      </c>
      <c r="B54" s="7">
        <v>8.6944037798995524</v>
      </c>
      <c r="C54" s="7">
        <v>2.3055962201004476</v>
      </c>
    </row>
    <row r="55" spans="1:3" ht="17" thickBot="1" x14ac:dyDescent="0.25">
      <c r="A55" s="8">
        <v>30</v>
      </c>
      <c r="B55" s="8">
        <v>6.5626193487202329</v>
      </c>
      <c r="C55" s="8">
        <v>-1.5626193487202329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BAC3-AD8B-1448-AE28-E6D93B354AD2}">
  <dimension ref="A1:I55"/>
  <sheetViews>
    <sheetView topLeftCell="A30" workbookViewId="0">
      <selection sqref="A1:I55"/>
    </sheetView>
  </sheetViews>
  <sheetFormatPr baseColWidth="10" defaultRowHeight="16" x14ac:dyDescent="0.2"/>
  <sheetData>
    <row r="1" spans="1:9" x14ac:dyDescent="0.2">
      <c r="A1" t="s">
        <v>91</v>
      </c>
    </row>
    <row r="2" spans="1:9" ht="17" thickBot="1" x14ac:dyDescent="0.25"/>
    <row r="3" spans="1:9" x14ac:dyDescent="0.2">
      <c r="A3" s="10" t="s">
        <v>92</v>
      </c>
      <c r="B3" s="10"/>
    </row>
    <row r="4" spans="1:9" x14ac:dyDescent="0.2">
      <c r="A4" s="7" t="s">
        <v>93</v>
      </c>
      <c r="B4" s="7">
        <v>0.62540567812593084</v>
      </c>
    </row>
    <row r="5" spans="1:9" x14ac:dyDescent="0.2">
      <c r="A5" s="7" t="s">
        <v>94</v>
      </c>
      <c r="B5" s="7">
        <v>0.39113226223215547</v>
      </c>
    </row>
    <row r="6" spans="1:9" x14ac:dyDescent="0.2">
      <c r="A6" s="7" t="s">
        <v>95</v>
      </c>
      <c r="B6" s="7">
        <v>0.34603094832342624</v>
      </c>
    </row>
    <row r="7" spans="1:9" x14ac:dyDescent="0.2">
      <c r="A7" s="7" t="s">
        <v>96</v>
      </c>
      <c r="B7" s="7">
        <v>2.6254278487704337</v>
      </c>
    </row>
    <row r="8" spans="1:9" ht="17" thickBot="1" x14ac:dyDescent="0.25">
      <c r="A8" s="8" t="s">
        <v>97</v>
      </c>
      <c r="B8" s="8">
        <v>30</v>
      </c>
    </row>
    <row r="10" spans="1:9" ht="17" thickBot="1" x14ac:dyDescent="0.25">
      <c r="A10" t="s">
        <v>98</v>
      </c>
    </row>
    <row r="11" spans="1:9" x14ac:dyDescent="0.2">
      <c r="A11" s="9"/>
      <c r="B11" s="9" t="s">
        <v>103</v>
      </c>
      <c r="C11" s="9" t="s">
        <v>104</v>
      </c>
      <c r="D11" s="9" t="s">
        <v>105</v>
      </c>
      <c r="E11" s="9" t="s">
        <v>106</v>
      </c>
      <c r="F11" s="9" t="s">
        <v>107</v>
      </c>
    </row>
    <row r="12" spans="1:9" x14ac:dyDescent="0.2">
      <c r="A12" s="7" t="s">
        <v>99</v>
      </c>
      <c r="B12" s="7">
        <v>2</v>
      </c>
      <c r="C12" s="7">
        <v>119.55413916098439</v>
      </c>
      <c r="D12" s="7">
        <v>59.777069580492196</v>
      </c>
      <c r="E12" s="7">
        <v>8.6723030513852279</v>
      </c>
      <c r="F12" s="7">
        <v>1.2332751904370381E-3</v>
      </c>
    </row>
    <row r="13" spans="1:9" x14ac:dyDescent="0.2">
      <c r="A13" s="7" t="s">
        <v>100</v>
      </c>
      <c r="B13" s="7">
        <v>27</v>
      </c>
      <c r="C13" s="7">
        <v>186.10752750568236</v>
      </c>
      <c r="D13" s="7">
        <v>6.8928713890993469</v>
      </c>
      <c r="E13" s="7"/>
      <c r="F13" s="7"/>
    </row>
    <row r="14" spans="1:9" ht="17" thickBot="1" x14ac:dyDescent="0.25">
      <c r="A14" s="8" t="s">
        <v>101</v>
      </c>
      <c r="B14" s="8">
        <v>29</v>
      </c>
      <c r="C14" s="8">
        <v>305.66166666666675</v>
      </c>
      <c r="D14" s="8"/>
      <c r="E14" s="8"/>
      <c r="F14" s="8"/>
    </row>
    <row r="15" spans="1:9" ht="17" thickBot="1" x14ac:dyDescent="0.25"/>
    <row r="16" spans="1:9" x14ac:dyDescent="0.2">
      <c r="A16" s="9"/>
      <c r="B16" s="9" t="s">
        <v>108</v>
      </c>
      <c r="C16" s="9" t="s">
        <v>96</v>
      </c>
      <c r="D16" s="9" t="s">
        <v>109</v>
      </c>
      <c r="E16" s="9" t="s">
        <v>110</v>
      </c>
      <c r="F16" s="9" t="s">
        <v>111</v>
      </c>
      <c r="G16" s="9" t="s">
        <v>112</v>
      </c>
      <c r="H16" s="9" t="s">
        <v>113</v>
      </c>
      <c r="I16" s="9" t="s">
        <v>114</v>
      </c>
    </row>
    <row r="17" spans="1:9" x14ac:dyDescent="0.2">
      <c r="A17" s="7" t="s">
        <v>102</v>
      </c>
      <c r="B17" s="7">
        <v>28.805952676725397</v>
      </c>
      <c r="C17" s="7">
        <v>18.007473133725878</v>
      </c>
      <c r="D17" s="7">
        <v>1.5996665641430412</v>
      </c>
      <c r="E17" s="7">
        <v>0.1213104143292983</v>
      </c>
      <c r="F17" s="7">
        <v>-8.1423302237522464</v>
      </c>
      <c r="G17" s="7">
        <v>65.754235577203048</v>
      </c>
      <c r="H17" s="7">
        <v>-8.1423302237522464</v>
      </c>
      <c r="I17" s="7">
        <v>65.754235577203048</v>
      </c>
    </row>
    <row r="18" spans="1:9" x14ac:dyDescent="0.2">
      <c r="A18" s="7" t="s">
        <v>116</v>
      </c>
      <c r="B18" s="7">
        <v>0.66939512464845874</v>
      </c>
      <c r="C18" s="7">
        <v>0.20976040541916063</v>
      </c>
      <c r="D18" s="7">
        <v>3.1912367985312478</v>
      </c>
      <c r="E18" s="7">
        <v>3.5771941378924346E-3</v>
      </c>
      <c r="F18" s="7">
        <v>0.23900232366014823</v>
      </c>
      <c r="G18" s="7">
        <v>1.0997879256367693</v>
      </c>
      <c r="H18" s="7">
        <v>0.23900232366014823</v>
      </c>
      <c r="I18" s="7">
        <v>1.0997879256367693</v>
      </c>
    </row>
    <row r="19" spans="1:9" ht="17" thickBot="1" x14ac:dyDescent="0.25">
      <c r="A19" s="8" t="s">
        <v>84</v>
      </c>
      <c r="B19" s="8">
        <v>-0.12564700334228016</v>
      </c>
      <c r="C19" s="8">
        <v>0.18333157432263908</v>
      </c>
      <c r="D19" s="8">
        <v>-0.68535386665669606</v>
      </c>
      <c r="E19" s="8">
        <v>0.49896310336959693</v>
      </c>
      <c r="F19" s="8">
        <v>-0.50181232217184457</v>
      </c>
      <c r="G19" s="8">
        <v>0.25051831548728432</v>
      </c>
      <c r="H19" s="8">
        <v>-0.50181232217184457</v>
      </c>
      <c r="I19" s="8">
        <v>0.25051831548728432</v>
      </c>
    </row>
    <row r="23" spans="1:9" x14ac:dyDescent="0.2">
      <c r="A23" t="s">
        <v>129</v>
      </c>
    </row>
    <row r="24" spans="1:9" ht="17" thickBot="1" x14ac:dyDescent="0.25"/>
    <row r="25" spans="1:9" x14ac:dyDescent="0.2">
      <c r="A25" s="9" t="s">
        <v>130</v>
      </c>
      <c r="B25" s="9" t="s">
        <v>133</v>
      </c>
      <c r="C25" s="9" t="s">
        <v>132</v>
      </c>
    </row>
    <row r="26" spans="1:9" x14ac:dyDescent="0.2">
      <c r="A26" s="7">
        <v>1</v>
      </c>
      <c r="B26" s="7">
        <v>25.075967980138373</v>
      </c>
      <c r="C26" s="7">
        <v>3.5240320198616288</v>
      </c>
    </row>
    <row r="27" spans="1:9" x14ac:dyDescent="0.2">
      <c r="A27" s="7">
        <v>2</v>
      </c>
      <c r="B27" s="7">
        <v>26.644388842385766</v>
      </c>
      <c r="C27" s="7">
        <v>1.1556111576142349</v>
      </c>
    </row>
    <row r="28" spans="1:9" x14ac:dyDescent="0.2">
      <c r="A28" s="7">
        <v>3</v>
      </c>
      <c r="B28" s="7">
        <v>24.280925852147632</v>
      </c>
      <c r="C28" s="7">
        <v>3.3190741478523691</v>
      </c>
    </row>
    <row r="29" spans="1:9" x14ac:dyDescent="0.2">
      <c r="A29" s="7">
        <v>4</v>
      </c>
      <c r="B29" s="7">
        <v>22.95470030318495</v>
      </c>
      <c r="C29" s="7">
        <v>3.3452996968150508</v>
      </c>
    </row>
    <row r="30" spans="1:9" x14ac:dyDescent="0.2">
      <c r="A30" s="7">
        <v>5</v>
      </c>
      <c r="B30" s="7">
        <v>24.469396357161052</v>
      </c>
      <c r="C30" s="7">
        <v>1.4306036428389461</v>
      </c>
    </row>
    <row r="31" spans="1:9" x14ac:dyDescent="0.2">
      <c r="A31" s="7">
        <v>6</v>
      </c>
      <c r="B31" s="7">
        <v>22.900975494913659</v>
      </c>
      <c r="C31" s="7">
        <v>2.9990245050863393</v>
      </c>
    </row>
    <row r="32" spans="1:9" x14ac:dyDescent="0.2">
      <c r="A32" s="7">
        <v>7</v>
      </c>
      <c r="B32" s="7">
        <v>22.482874376949759</v>
      </c>
      <c r="C32" s="7">
        <v>3.2171256230502401</v>
      </c>
    </row>
    <row r="33" spans="1:3" x14ac:dyDescent="0.2">
      <c r="A33" s="7">
        <v>8</v>
      </c>
      <c r="B33" s="7">
        <v>22.85071669357675</v>
      </c>
      <c r="C33" s="7">
        <v>2.7492833064232514</v>
      </c>
    </row>
    <row r="34" spans="1:3" x14ac:dyDescent="0.2">
      <c r="A34" s="7">
        <v>9</v>
      </c>
      <c r="B34" s="7">
        <v>23.482417717222525</v>
      </c>
      <c r="C34" s="7">
        <v>0.91758228277747378</v>
      </c>
    </row>
    <row r="35" spans="1:3" x14ac:dyDescent="0.2">
      <c r="A35" s="7">
        <v>10</v>
      </c>
      <c r="B35" s="7">
        <v>22.816488599508439</v>
      </c>
      <c r="C35" s="7">
        <v>1.4835114004915617</v>
      </c>
    </row>
    <row r="36" spans="1:3" x14ac:dyDescent="0.2">
      <c r="A36" s="7">
        <v>11</v>
      </c>
      <c r="B36" s="7">
        <v>22.34812868020763</v>
      </c>
      <c r="C36" s="7">
        <v>1.7518713197923717</v>
      </c>
    </row>
    <row r="37" spans="1:3" x14ac:dyDescent="0.2">
      <c r="A37" s="7">
        <v>12</v>
      </c>
      <c r="B37" s="7">
        <v>22.59942268689219</v>
      </c>
      <c r="C37" s="7">
        <v>1.4005773131078101</v>
      </c>
    </row>
    <row r="38" spans="1:3" x14ac:dyDescent="0.2">
      <c r="A38" s="7">
        <v>13</v>
      </c>
      <c r="B38" s="7">
        <v>23.975907037191785</v>
      </c>
      <c r="C38" s="7">
        <v>-0.37590703719178364</v>
      </c>
    </row>
    <row r="39" spans="1:3" x14ac:dyDescent="0.2">
      <c r="A39" s="7">
        <v>14</v>
      </c>
      <c r="B39" s="7">
        <v>26.757471145393819</v>
      </c>
      <c r="C39" s="7">
        <v>-3.5574711453938193</v>
      </c>
    </row>
    <row r="40" spans="1:3" x14ac:dyDescent="0.2">
      <c r="A40" s="7">
        <v>15</v>
      </c>
      <c r="B40" s="7">
        <v>23.966808343791932</v>
      </c>
      <c r="C40" s="7">
        <v>-0.76680834379193286</v>
      </c>
    </row>
    <row r="41" spans="1:3" x14ac:dyDescent="0.2">
      <c r="A41" s="7">
        <v>16</v>
      </c>
      <c r="B41" s="7">
        <v>24.833772666853665</v>
      </c>
      <c r="C41" s="7">
        <v>-2.1337726668536661</v>
      </c>
    </row>
    <row r="42" spans="1:3" x14ac:dyDescent="0.2">
      <c r="A42" s="7">
        <v>17</v>
      </c>
      <c r="B42" s="7">
        <v>19.880682080361296</v>
      </c>
      <c r="C42" s="7">
        <v>1.9193179196387042</v>
      </c>
    </row>
    <row r="43" spans="1:3" x14ac:dyDescent="0.2">
      <c r="A43" s="7">
        <v>18</v>
      </c>
      <c r="B43" s="7">
        <v>22.297869878870713</v>
      </c>
      <c r="C43" s="7">
        <v>-0.79786987887071348</v>
      </c>
    </row>
    <row r="44" spans="1:3" x14ac:dyDescent="0.2">
      <c r="A44" s="7">
        <v>19</v>
      </c>
      <c r="B44" s="7">
        <v>20.383270093730417</v>
      </c>
      <c r="C44" s="7">
        <v>0.81672990626958253</v>
      </c>
    </row>
    <row r="45" spans="1:3" x14ac:dyDescent="0.2">
      <c r="A45" s="7">
        <v>20</v>
      </c>
      <c r="B45" s="7">
        <v>21.336020639600633</v>
      </c>
      <c r="C45" s="7">
        <v>-0.33602063960063333</v>
      </c>
    </row>
    <row r="46" spans="1:3" x14ac:dyDescent="0.2">
      <c r="A46" s="7">
        <v>21</v>
      </c>
      <c r="B46" s="7">
        <v>21.009338430910709</v>
      </c>
      <c r="C46" s="7">
        <v>-0.70933843091070869</v>
      </c>
    </row>
    <row r="47" spans="1:3" x14ac:dyDescent="0.2">
      <c r="A47" s="7">
        <v>22</v>
      </c>
      <c r="B47" s="7">
        <v>23.071248613127366</v>
      </c>
      <c r="C47" s="7">
        <v>-3.0712486131273664</v>
      </c>
    </row>
    <row r="48" spans="1:3" x14ac:dyDescent="0.2">
      <c r="A48" s="7">
        <v>23</v>
      </c>
      <c r="B48" s="7">
        <v>19.588227965739677</v>
      </c>
      <c r="C48" s="7">
        <v>0.31177203426032207</v>
      </c>
    </row>
    <row r="49" spans="1:3" x14ac:dyDescent="0.2">
      <c r="A49" s="7">
        <v>24</v>
      </c>
      <c r="B49" s="7">
        <v>21.612444046953652</v>
      </c>
      <c r="C49" s="7">
        <v>-1.712444046953653</v>
      </c>
    </row>
    <row r="50" spans="1:3" x14ac:dyDescent="0.2">
      <c r="A50" s="7">
        <v>25</v>
      </c>
      <c r="B50" s="7">
        <v>19.082173945436178</v>
      </c>
      <c r="C50" s="7">
        <v>0.41782605456382171</v>
      </c>
    </row>
    <row r="51" spans="1:3" x14ac:dyDescent="0.2">
      <c r="A51" s="7">
        <v>26</v>
      </c>
      <c r="B51" s="7">
        <v>22.78789319190561</v>
      </c>
      <c r="C51" s="7">
        <v>-3.3878931919056114</v>
      </c>
    </row>
    <row r="52" spans="1:3" x14ac:dyDescent="0.2">
      <c r="A52" s="7">
        <v>27</v>
      </c>
      <c r="B52" s="7">
        <v>19.352964666323718</v>
      </c>
      <c r="C52" s="7">
        <v>-0.25296466632371661</v>
      </c>
    </row>
    <row r="53" spans="1:3" x14ac:dyDescent="0.2">
      <c r="A53" s="7">
        <v>28</v>
      </c>
      <c r="B53" s="7">
        <v>23.783970525243994</v>
      </c>
      <c r="C53" s="7">
        <v>-5.2839705252439941</v>
      </c>
    </row>
    <row r="54" spans="1:3" x14ac:dyDescent="0.2">
      <c r="A54" s="7">
        <v>29</v>
      </c>
      <c r="B54" s="7">
        <v>22.78789319190561</v>
      </c>
      <c r="C54" s="7">
        <v>-5.28789319190561</v>
      </c>
    </row>
    <row r="55" spans="1:3" ht="17" thickBot="1" x14ac:dyDescent="0.25">
      <c r="A55" s="8">
        <v>30</v>
      </c>
      <c r="B55" s="8">
        <v>19.085639952370556</v>
      </c>
      <c r="C55" s="8">
        <v>-3.0856399523705562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4D8AE-98E5-9147-B764-8240DA9E606A}">
  <dimension ref="A1:AB37"/>
  <sheetViews>
    <sheetView tabSelected="1" zoomScale="75" workbookViewId="0">
      <selection activeCell="D5" sqref="D5"/>
    </sheetView>
  </sheetViews>
  <sheetFormatPr baseColWidth="10" defaultRowHeight="16" x14ac:dyDescent="0.2"/>
  <cols>
    <col min="1" max="1" width="35.5" customWidth="1"/>
    <col min="2" max="3" width="20.83203125" customWidth="1"/>
    <col min="8" max="10" width="11.5" customWidth="1"/>
    <col min="15" max="15" width="14" customWidth="1"/>
    <col min="16" max="16" width="10.83203125" customWidth="1"/>
    <col min="22" max="22" width="24.83203125" customWidth="1"/>
    <col min="23" max="23" width="13.5" customWidth="1"/>
    <col min="25" max="26" width="18.1640625" customWidth="1"/>
    <col min="27" max="27" width="15.5" customWidth="1"/>
  </cols>
  <sheetData>
    <row r="1" spans="1:28" x14ac:dyDescent="0.2">
      <c r="J1" t="s">
        <v>118</v>
      </c>
      <c r="K1" t="s">
        <v>119</v>
      </c>
      <c r="L1" t="s">
        <v>120</v>
      </c>
      <c r="M1" t="s">
        <v>121</v>
      </c>
      <c r="O1" t="s">
        <v>122</v>
      </c>
      <c r="Q1" t="s">
        <v>123</v>
      </c>
      <c r="R1" t="s">
        <v>124</v>
      </c>
      <c r="S1" t="s">
        <v>125</v>
      </c>
      <c r="T1" t="s">
        <v>126</v>
      </c>
    </row>
    <row r="4" spans="1:28" x14ac:dyDescent="0.2">
      <c r="B4" t="s">
        <v>51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6" t="s">
        <v>84</v>
      </c>
      <c r="I4" s="3" t="s">
        <v>85</v>
      </c>
      <c r="J4" s="3" t="s">
        <v>85</v>
      </c>
      <c r="K4" s="3" t="s">
        <v>36</v>
      </c>
      <c r="L4" s="3" t="s">
        <v>39</v>
      </c>
      <c r="M4" s="3" t="s">
        <v>42</v>
      </c>
      <c r="N4" s="3" t="s">
        <v>50</v>
      </c>
      <c r="O4" s="6" t="s">
        <v>83</v>
      </c>
      <c r="P4" s="6"/>
      <c r="Q4" s="3" t="s">
        <v>85</v>
      </c>
      <c r="R4" s="3" t="s">
        <v>36</v>
      </c>
      <c r="S4" s="3" t="s">
        <v>39</v>
      </c>
      <c r="T4" s="3" t="s">
        <v>42</v>
      </c>
      <c r="U4" s="3"/>
      <c r="V4" s="12" t="s">
        <v>51</v>
      </c>
      <c r="W4" s="3" t="s">
        <v>115</v>
      </c>
      <c r="X4" s="3" t="s">
        <v>116</v>
      </c>
      <c r="Y4" s="6" t="s">
        <v>84</v>
      </c>
      <c r="Z4" s="6"/>
      <c r="AA4" s="3" t="s">
        <v>135</v>
      </c>
      <c r="AB4" s="3" t="s">
        <v>136</v>
      </c>
    </row>
    <row r="5" spans="1:28" x14ac:dyDescent="0.2">
      <c r="B5" t="s">
        <v>52</v>
      </c>
      <c r="C5" s="2">
        <v>1</v>
      </c>
      <c r="D5" s="1" t="s">
        <v>0</v>
      </c>
      <c r="E5" s="2">
        <v>20</v>
      </c>
      <c r="F5" s="2">
        <v>35.799999999999997</v>
      </c>
      <c r="G5" s="2">
        <v>28.6</v>
      </c>
      <c r="H5" s="2">
        <v>109.6</v>
      </c>
      <c r="I5" s="11">
        <f>G5/H5*100</f>
        <v>26.094890510948908</v>
      </c>
      <c r="J5" s="6">
        <f>ROUND(I5,2)</f>
        <v>26.09</v>
      </c>
      <c r="K5" s="2">
        <v>53.9</v>
      </c>
      <c r="L5" s="2">
        <v>38.9</v>
      </c>
      <c r="M5" s="2">
        <v>86.3</v>
      </c>
      <c r="N5" s="2">
        <v>30.2</v>
      </c>
      <c r="O5">
        <f>W5*100</f>
        <v>71.399999999999991</v>
      </c>
      <c r="P5" s="2"/>
      <c r="Q5">
        <f t="shared" ref="Q5:Q34" si="0">J5/100</f>
        <v>0.26090000000000002</v>
      </c>
      <c r="R5">
        <f t="shared" ref="R5:R34" si="1">K5/100</f>
        <v>0.53900000000000003</v>
      </c>
      <c r="S5">
        <f t="shared" ref="S5:S34" si="2">L5/100</f>
        <v>0.38900000000000001</v>
      </c>
      <c r="T5">
        <f t="shared" ref="T5:T34" si="3">M5/100</f>
        <v>0.86299999999999999</v>
      </c>
      <c r="V5" s="12" t="s">
        <v>52</v>
      </c>
      <c r="W5" s="2">
        <v>0.71399999999999997</v>
      </c>
      <c r="X5">
        <v>15</v>
      </c>
      <c r="Y5" s="2">
        <v>109.6</v>
      </c>
      <c r="Z5" s="2"/>
      <c r="AA5">
        <v>1</v>
      </c>
      <c r="AB5" s="2">
        <v>3</v>
      </c>
    </row>
    <row r="6" spans="1:28" x14ac:dyDescent="0.2">
      <c r="B6" t="s">
        <v>53</v>
      </c>
      <c r="C6" s="2">
        <v>2</v>
      </c>
      <c r="D6" s="1" t="s">
        <v>1</v>
      </c>
      <c r="E6" s="2">
        <v>20</v>
      </c>
      <c r="F6" s="2">
        <v>34.299999999999997</v>
      </c>
      <c r="G6" s="2">
        <v>27.8</v>
      </c>
      <c r="H6" s="2">
        <v>113.1</v>
      </c>
      <c r="I6" s="11">
        <f t="shared" ref="I6:I34" si="4">G6/H6*100</f>
        <v>24.580017683465961</v>
      </c>
      <c r="J6" s="6">
        <f t="shared" ref="J6:J34" si="5">ROUND(I6,2)</f>
        <v>24.58</v>
      </c>
      <c r="K6" s="2">
        <v>45.2</v>
      </c>
      <c r="L6" s="2">
        <v>41.2</v>
      </c>
      <c r="M6" s="2">
        <v>94.3</v>
      </c>
      <c r="N6" s="2">
        <v>27.9</v>
      </c>
      <c r="O6">
        <f t="shared" ref="O6:O34" si="6">W6*100</f>
        <v>85.7</v>
      </c>
      <c r="P6" s="2"/>
      <c r="Q6">
        <f t="shared" si="0"/>
        <v>0.24579999999999999</v>
      </c>
      <c r="R6">
        <f t="shared" si="1"/>
        <v>0.45200000000000001</v>
      </c>
      <c r="S6">
        <f t="shared" si="2"/>
        <v>0.41200000000000003</v>
      </c>
      <c r="T6">
        <f t="shared" si="3"/>
        <v>0.94299999999999995</v>
      </c>
      <c r="V6" s="12" t="s">
        <v>53</v>
      </c>
      <c r="W6" s="2">
        <v>0.85699999999999998</v>
      </c>
      <c r="X6">
        <v>18</v>
      </c>
      <c r="Y6" s="2">
        <v>113.1</v>
      </c>
      <c r="Z6" s="2"/>
      <c r="AA6">
        <f>AA5+1</f>
        <v>2</v>
      </c>
      <c r="AB6" s="2">
        <v>1</v>
      </c>
    </row>
    <row r="7" spans="1:28" x14ac:dyDescent="0.2">
      <c r="B7" t="s">
        <v>54</v>
      </c>
      <c r="C7" s="2">
        <v>3</v>
      </c>
      <c r="D7" s="1" t="s">
        <v>2</v>
      </c>
      <c r="E7" s="2">
        <v>21</v>
      </c>
      <c r="F7" s="2">
        <v>32.700000000000003</v>
      </c>
      <c r="G7" s="2">
        <v>27.6</v>
      </c>
      <c r="H7" s="2">
        <v>110.6</v>
      </c>
      <c r="I7" s="11">
        <f t="shared" si="4"/>
        <v>24.954792043399639</v>
      </c>
      <c r="J7" s="6">
        <f t="shared" si="5"/>
        <v>24.95</v>
      </c>
      <c r="K7" s="2">
        <v>53.2</v>
      </c>
      <c r="L7" s="2">
        <v>27.6</v>
      </c>
      <c r="M7" s="2">
        <v>67.3</v>
      </c>
      <c r="N7" s="2">
        <v>33.1</v>
      </c>
      <c r="O7">
        <f t="shared" si="6"/>
        <v>63.6</v>
      </c>
      <c r="P7" s="2"/>
      <c r="Q7">
        <f t="shared" si="0"/>
        <v>0.2495</v>
      </c>
      <c r="R7">
        <f t="shared" si="1"/>
        <v>0.53200000000000003</v>
      </c>
      <c r="S7">
        <f t="shared" si="2"/>
        <v>0.27600000000000002</v>
      </c>
      <c r="T7">
        <f t="shared" si="3"/>
        <v>0.67299999999999993</v>
      </c>
      <c r="V7" s="12" t="s">
        <v>54</v>
      </c>
      <c r="W7" s="2">
        <v>0.63600000000000001</v>
      </c>
      <c r="X7">
        <v>14</v>
      </c>
      <c r="Y7" s="2">
        <v>110.6</v>
      </c>
      <c r="Z7" s="2"/>
      <c r="AA7">
        <f t="shared" ref="AA7:AA34" si="7">AA6+1</f>
        <v>3</v>
      </c>
      <c r="AB7" s="2">
        <v>5</v>
      </c>
    </row>
    <row r="8" spans="1:28" x14ac:dyDescent="0.2">
      <c r="B8" s="4" t="s">
        <v>55</v>
      </c>
      <c r="C8" s="2">
        <v>4</v>
      </c>
      <c r="D8" s="1" t="s">
        <v>3</v>
      </c>
      <c r="E8" s="2">
        <v>22</v>
      </c>
      <c r="F8" s="2">
        <v>34</v>
      </c>
      <c r="G8" s="2">
        <v>26.3</v>
      </c>
      <c r="H8" s="2">
        <v>110.5</v>
      </c>
      <c r="I8" s="11">
        <f t="shared" si="4"/>
        <v>23.800904977375566</v>
      </c>
      <c r="J8" s="6">
        <f t="shared" si="5"/>
        <v>23.8</v>
      </c>
      <c r="K8" s="2">
        <v>46.6</v>
      </c>
      <c r="L8" s="2">
        <v>38.799999999999997</v>
      </c>
      <c r="M8" s="2">
        <v>89.5</v>
      </c>
      <c r="N8" s="2">
        <v>25.1</v>
      </c>
      <c r="O8">
        <f t="shared" si="6"/>
        <v>54.500000000000007</v>
      </c>
      <c r="P8" s="2"/>
      <c r="Q8">
        <f t="shared" si="0"/>
        <v>0.23800000000000002</v>
      </c>
      <c r="R8">
        <f t="shared" si="1"/>
        <v>0.46600000000000003</v>
      </c>
      <c r="S8">
        <f t="shared" si="2"/>
        <v>0.38799999999999996</v>
      </c>
      <c r="T8">
        <f t="shared" si="3"/>
        <v>0.89500000000000002</v>
      </c>
      <c r="V8" s="12" t="s">
        <v>55</v>
      </c>
      <c r="W8" s="2">
        <v>0.54500000000000004</v>
      </c>
      <c r="X8">
        <v>12</v>
      </c>
      <c r="Y8" s="2">
        <v>110.5</v>
      </c>
      <c r="Z8" s="2"/>
      <c r="AA8">
        <f t="shared" si="7"/>
        <v>4</v>
      </c>
      <c r="AB8" s="2">
        <v>10</v>
      </c>
    </row>
    <row r="9" spans="1:28" x14ac:dyDescent="0.2">
      <c r="A9" s="4"/>
      <c r="B9" s="4" t="s">
        <v>58</v>
      </c>
      <c r="C9" s="2">
        <v>5</v>
      </c>
      <c r="D9" s="1" t="s">
        <v>4</v>
      </c>
      <c r="E9" s="2">
        <v>22</v>
      </c>
      <c r="F9" s="2">
        <v>35</v>
      </c>
      <c r="G9" s="2">
        <v>25.9</v>
      </c>
      <c r="H9" s="2">
        <v>109.1</v>
      </c>
      <c r="I9" s="11">
        <f t="shared" si="4"/>
        <v>23.73968835930339</v>
      </c>
      <c r="J9" s="6">
        <f t="shared" si="5"/>
        <v>23.74</v>
      </c>
      <c r="K9" s="2">
        <v>48.9</v>
      </c>
      <c r="L9" s="2">
        <v>32.799999999999997</v>
      </c>
      <c r="M9" s="2">
        <v>89.6</v>
      </c>
      <c r="N9" s="2">
        <v>24.2</v>
      </c>
      <c r="O9">
        <f t="shared" si="6"/>
        <v>63.6</v>
      </c>
      <c r="P9" s="2"/>
      <c r="Q9">
        <f t="shared" si="0"/>
        <v>0.23739999999999997</v>
      </c>
      <c r="R9">
        <f t="shared" si="1"/>
        <v>0.48899999999999999</v>
      </c>
      <c r="S9">
        <f t="shared" si="2"/>
        <v>0.32799999999999996</v>
      </c>
      <c r="T9">
        <f t="shared" si="3"/>
        <v>0.89599999999999991</v>
      </c>
      <c r="V9" s="12" t="s">
        <v>58</v>
      </c>
      <c r="W9" s="2">
        <v>0.63600000000000001</v>
      </c>
      <c r="X9">
        <v>14</v>
      </c>
      <c r="Y9" s="2">
        <v>109.1</v>
      </c>
      <c r="Z9" s="2"/>
      <c r="AA9">
        <f t="shared" si="7"/>
        <v>5</v>
      </c>
      <c r="AB9" s="2">
        <v>5</v>
      </c>
    </row>
    <row r="10" spans="1:28" x14ac:dyDescent="0.2">
      <c r="A10" s="4"/>
      <c r="B10" s="4" t="s">
        <v>65</v>
      </c>
      <c r="C10" s="2">
        <v>6</v>
      </c>
      <c r="D10" s="1" t="s">
        <v>5</v>
      </c>
      <c r="E10" s="2">
        <v>21</v>
      </c>
      <c r="F10" s="2">
        <v>35.5</v>
      </c>
      <c r="G10" s="2">
        <v>25.9</v>
      </c>
      <c r="H10" s="2">
        <v>105.6</v>
      </c>
      <c r="I10" s="11">
        <f t="shared" si="4"/>
        <v>24.526515151515152</v>
      </c>
      <c r="J10" s="6">
        <f t="shared" si="5"/>
        <v>24.53</v>
      </c>
      <c r="K10" s="2">
        <v>43.1</v>
      </c>
      <c r="L10" s="2">
        <v>33.200000000000003</v>
      </c>
      <c r="M10" s="2">
        <v>89.5</v>
      </c>
      <c r="N10" s="2">
        <v>23.2</v>
      </c>
      <c r="O10">
        <f t="shared" si="6"/>
        <v>50</v>
      </c>
      <c r="P10" s="2"/>
      <c r="Q10">
        <f t="shared" si="0"/>
        <v>0.24530000000000002</v>
      </c>
      <c r="R10">
        <f t="shared" si="1"/>
        <v>0.43099999999999999</v>
      </c>
      <c r="S10">
        <f t="shared" si="2"/>
        <v>0.33200000000000002</v>
      </c>
      <c r="T10">
        <f t="shared" si="3"/>
        <v>0.89500000000000002</v>
      </c>
      <c r="V10" s="12" t="s">
        <v>65</v>
      </c>
      <c r="W10" s="2">
        <v>0.5</v>
      </c>
      <c r="X10">
        <v>11</v>
      </c>
      <c r="Y10" s="2">
        <v>105.6</v>
      </c>
      <c r="Z10" s="2"/>
      <c r="AA10">
        <f t="shared" si="7"/>
        <v>6</v>
      </c>
      <c r="AB10" s="2">
        <v>17</v>
      </c>
    </row>
    <row r="11" spans="1:28" x14ac:dyDescent="0.2">
      <c r="A11" s="4"/>
      <c r="B11" s="4" t="s">
        <v>61</v>
      </c>
      <c r="C11" s="2">
        <v>7</v>
      </c>
      <c r="D11" s="1" t="s">
        <v>6</v>
      </c>
      <c r="E11" s="2">
        <v>16</v>
      </c>
      <c r="F11" s="2">
        <v>32.700000000000003</v>
      </c>
      <c r="G11" s="2">
        <v>25.7</v>
      </c>
      <c r="H11" s="2">
        <v>103.6</v>
      </c>
      <c r="I11" s="11">
        <f t="shared" si="4"/>
        <v>24.806949806949806</v>
      </c>
      <c r="J11" s="6">
        <f t="shared" si="5"/>
        <v>24.81</v>
      </c>
      <c r="K11" s="2">
        <v>58</v>
      </c>
      <c r="L11" s="2">
        <v>38.200000000000003</v>
      </c>
      <c r="M11" s="2">
        <v>75.599999999999994</v>
      </c>
      <c r="N11" s="2">
        <v>36.1</v>
      </c>
      <c r="O11">
        <f t="shared" si="6"/>
        <v>47.599999999999994</v>
      </c>
      <c r="P11" s="2"/>
      <c r="Q11">
        <f t="shared" si="0"/>
        <v>0.24809999999999999</v>
      </c>
      <c r="R11">
        <f t="shared" si="1"/>
        <v>0.57999999999999996</v>
      </c>
      <c r="S11">
        <f t="shared" si="2"/>
        <v>0.38200000000000001</v>
      </c>
      <c r="T11">
        <f t="shared" si="3"/>
        <v>0.75599999999999989</v>
      </c>
      <c r="V11" s="12" t="s">
        <v>61</v>
      </c>
      <c r="W11" s="2">
        <v>0.47599999999999998</v>
      </c>
      <c r="X11">
        <v>10</v>
      </c>
      <c r="Y11" s="2">
        <v>103.6</v>
      </c>
      <c r="Z11" s="2"/>
      <c r="AA11">
        <f t="shared" si="7"/>
        <v>7</v>
      </c>
      <c r="AB11" s="2">
        <v>21</v>
      </c>
    </row>
    <row r="12" spans="1:28" x14ac:dyDescent="0.2">
      <c r="A12" s="4"/>
      <c r="B12" s="4" t="s">
        <v>60</v>
      </c>
      <c r="C12" s="2">
        <v>8</v>
      </c>
      <c r="D12" s="1" t="s">
        <v>7</v>
      </c>
      <c r="E12" s="2">
        <v>17</v>
      </c>
      <c r="F12" s="2">
        <v>34.700000000000003</v>
      </c>
      <c r="G12" s="2">
        <v>25.6</v>
      </c>
      <c r="H12" s="2">
        <v>106</v>
      </c>
      <c r="I12" s="11">
        <f t="shared" si="4"/>
        <v>24.150943396226417</v>
      </c>
      <c r="J12" s="6">
        <f t="shared" si="5"/>
        <v>24.15</v>
      </c>
      <c r="K12" s="2">
        <v>45</v>
      </c>
      <c r="L12" s="2">
        <v>34.299999999999997</v>
      </c>
      <c r="M12" s="2">
        <v>66.7</v>
      </c>
      <c r="N12" s="2">
        <v>25.9</v>
      </c>
      <c r="O12">
        <f t="shared" si="6"/>
        <v>55.000000000000007</v>
      </c>
      <c r="P12" s="2"/>
      <c r="Q12">
        <f t="shared" si="0"/>
        <v>0.24149999999999999</v>
      </c>
      <c r="R12">
        <f t="shared" si="1"/>
        <v>0.45</v>
      </c>
      <c r="S12">
        <f t="shared" si="2"/>
        <v>0.34299999999999997</v>
      </c>
      <c r="T12">
        <f t="shared" si="3"/>
        <v>0.66700000000000004</v>
      </c>
      <c r="V12" s="12" t="s">
        <v>60</v>
      </c>
      <c r="W12" s="2">
        <v>0.55000000000000004</v>
      </c>
      <c r="X12">
        <v>11</v>
      </c>
      <c r="Y12" s="2">
        <v>106</v>
      </c>
      <c r="Z12" s="2"/>
      <c r="AA12">
        <f t="shared" si="7"/>
        <v>8</v>
      </c>
      <c r="AB12" s="2">
        <v>9</v>
      </c>
    </row>
    <row r="13" spans="1:28" x14ac:dyDescent="0.2">
      <c r="A13" s="4"/>
      <c r="B13" s="4" t="s">
        <v>56</v>
      </c>
      <c r="C13" s="2">
        <v>10</v>
      </c>
      <c r="D13" s="1" t="s">
        <v>8</v>
      </c>
      <c r="E13" s="2">
        <v>22</v>
      </c>
      <c r="F13" s="2">
        <v>36.6</v>
      </c>
      <c r="G13" s="2">
        <v>24.4</v>
      </c>
      <c r="H13" s="2">
        <v>106.3</v>
      </c>
      <c r="I13" s="11">
        <f t="shared" si="4"/>
        <v>22.95390404515522</v>
      </c>
      <c r="J13" s="6">
        <f t="shared" si="5"/>
        <v>22.95</v>
      </c>
      <c r="K13" s="2">
        <v>39.700000000000003</v>
      </c>
      <c r="L13" s="2">
        <v>31.9</v>
      </c>
      <c r="M13" s="2">
        <v>80.8</v>
      </c>
      <c r="N13" s="2">
        <v>21.8</v>
      </c>
      <c r="O13">
        <f t="shared" si="6"/>
        <v>54.500000000000007</v>
      </c>
      <c r="P13" s="2"/>
      <c r="Q13">
        <f t="shared" si="0"/>
        <v>0.22949999999999998</v>
      </c>
      <c r="R13">
        <f t="shared" si="1"/>
        <v>0.39700000000000002</v>
      </c>
      <c r="S13">
        <f t="shared" si="2"/>
        <v>0.31900000000000001</v>
      </c>
      <c r="T13">
        <f t="shared" si="3"/>
        <v>0.80799999999999994</v>
      </c>
      <c r="V13" s="12" t="s">
        <v>56</v>
      </c>
      <c r="W13" s="2">
        <v>0.54500000000000004</v>
      </c>
      <c r="X13">
        <v>12</v>
      </c>
      <c r="Y13" s="2">
        <v>106.3</v>
      </c>
      <c r="Z13" s="2"/>
      <c r="AA13">
        <f t="shared" si="7"/>
        <v>9</v>
      </c>
      <c r="AB13" s="2">
        <v>10</v>
      </c>
    </row>
    <row r="14" spans="1:28" x14ac:dyDescent="0.2">
      <c r="A14" s="4"/>
      <c r="B14" s="4" t="s">
        <v>66</v>
      </c>
      <c r="C14" s="2">
        <v>11</v>
      </c>
      <c r="D14" s="1" t="s">
        <v>9</v>
      </c>
      <c r="E14" s="2">
        <v>22</v>
      </c>
      <c r="F14" s="2">
        <v>35.700000000000003</v>
      </c>
      <c r="G14" s="2">
        <v>24.3</v>
      </c>
      <c r="H14" s="2">
        <v>111.6</v>
      </c>
      <c r="I14" s="11">
        <f t="shared" si="4"/>
        <v>21.7741935483871</v>
      </c>
      <c r="J14" s="6">
        <f t="shared" si="5"/>
        <v>21.77</v>
      </c>
      <c r="K14" s="2">
        <v>51.8</v>
      </c>
      <c r="L14" s="2">
        <v>19.600000000000001</v>
      </c>
      <c r="M14" s="2">
        <v>72.8</v>
      </c>
      <c r="N14" s="2">
        <v>28.2</v>
      </c>
      <c r="O14">
        <f t="shared" si="6"/>
        <v>52.2</v>
      </c>
      <c r="P14" s="2"/>
      <c r="Q14">
        <f t="shared" si="0"/>
        <v>0.2177</v>
      </c>
      <c r="R14">
        <f t="shared" si="1"/>
        <v>0.51800000000000002</v>
      </c>
      <c r="S14">
        <f t="shared" si="2"/>
        <v>0.19600000000000001</v>
      </c>
      <c r="T14">
        <f t="shared" si="3"/>
        <v>0.72799999999999998</v>
      </c>
      <c r="V14" s="12" t="s">
        <v>66</v>
      </c>
      <c r="W14" s="2">
        <v>0.52200000000000002</v>
      </c>
      <c r="X14">
        <v>12</v>
      </c>
      <c r="Y14" s="2">
        <v>111.6</v>
      </c>
      <c r="Z14" s="2"/>
      <c r="AA14">
        <f t="shared" si="7"/>
        <v>10</v>
      </c>
      <c r="AB14" s="2">
        <v>16</v>
      </c>
    </row>
    <row r="15" spans="1:28" x14ac:dyDescent="0.2">
      <c r="A15" s="4"/>
      <c r="B15" s="4" t="s">
        <v>67</v>
      </c>
      <c r="C15" s="2">
        <v>12</v>
      </c>
      <c r="D15" s="1" t="s">
        <v>10</v>
      </c>
      <c r="E15" s="2">
        <v>19</v>
      </c>
      <c r="F15" s="2">
        <v>32.6</v>
      </c>
      <c r="G15" s="2">
        <v>24.1</v>
      </c>
      <c r="H15" s="2">
        <v>110</v>
      </c>
      <c r="I15" s="11">
        <f t="shared" si="4"/>
        <v>21.90909090909091</v>
      </c>
      <c r="J15" s="6">
        <f t="shared" si="5"/>
        <v>21.91</v>
      </c>
      <c r="K15" s="2">
        <v>47.6</v>
      </c>
      <c r="L15" s="2">
        <v>35.6</v>
      </c>
      <c r="M15" s="2">
        <v>77.7</v>
      </c>
      <c r="N15" s="2">
        <v>24</v>
      </c>
      <c r="O15">
        <f t="shared" si="6"/>
        <v>52.400000000000006</v>
      </c>
      <c r="P15" s="2"/>
      <c r="Q15">
        <f t="shared" si="0"/>
        <v>0.21909999999999999</v>
      </c>
      <c r="R15">
        <f t="shared" si="1"/>
        <v>0.47600000000000003</v>
      </c>
      <c r="S15">
        <f t="shared" si="2"/>
        <v>0.35600000000000004</v>
      </c>
      <c r="T15">
        <f t="shared" si="3"/>
        <v>0.77700000000000002</v>
      </c>
      <c r="V15" s="12" t="s">
        <v>67</v>
      </c>
      <c r="W15" s="2">
        <v>0.52400000000000002</v>
      </c>
      <c r="X15">
        <v>11</v>
      </c>
      <c r="Y15" s="2">
        <v>110</v>
      </c>
      <c r="Z15" s="2"/>
      <c r="AA15">
        <f t="shared" si="7"/>
        <v>11</v>
      </c>
      <c r="AB15" s="2">
        <v>14</v>
      </c>
    </row>
    <row r="16" spans="1:28" x14ac:dyDescent="0.2">
      <c r="A16" s="4"/>
      <c r="B16" s="4" t="s">
        <v>69</v>
      </c>
      <c r="C16" s="2">
        <v>13</v>
      </c>
      <c r="D16" s="1" t="s">
        <v>11</v>
      </c>
      <c r="E16" s="2">
        <v>22</v>
      </c>
      <c r="F16" s="2">
        <v>34.299999999999997</v>
      </c>
      <c r="G16" s="2">
        <v>24</v>
      </c>
      <c r="H16" s="2">
        <v>108</v>
      </c>
      <c r="I16" s="11">
        <f t="shared" si="4"/>
        <v>22.222222222222221</v>
      </c>
      <c r="J16" s="6">
        <f t="shared" si="5"/>
        <v>22.22</v>
      </c>
      <c r="K16" s="2">
        <v>50.8</v>
      </c>
      <c r="L16" s="2">
        <v>44.2</v>
      </c>
      <c r="M16" s="2">
        <v>81.7</v>
      </c>
      <c r="N16" s="2">
        <v>25.5</v>
      </c>
      <c r="O16">
        <f t="shared" si="6"/>
        <v>50</v>
      </c>
      <c r="P16" s="2"/>
      <c r="Q16">
        <f t="shared" si="0"/>
        <v>0.22219999999999998</v>
      </c>
      <c r="R16">
        <f t="shared" si="1"/>
        <v>0.50800000000000001</v>
      </c>
      <c r="S16">
        <f t="shared" si="2"/>
        <v>0.442</v>
      </c>
      <c r="T16">
        <f t="shared" si="3"/>
        <v>0.81700000000000006</v>
      </c>
      <c r="V16" s="12" t="s">
        <v>69</v>
      </c>
      <c r="W16" s="2">
        <v>0.5</v>
      </c>
      <c r="X16">
        <v>11</v>
      </c>
      <c r="Y16" s="2">
        <v>108</v>
      </c>
      <c r="Z16" s="2"/>
      <c r="AA16">
        <f t="shared" si="7"/>
        <v>12</v>
      </c>
      <c r="AB16" s="2">
        <v>17</v>
      </c>
    </row>
    <row r="17" spans="1:28" x14ac:dyDescent="0.2">
      <c r="A17" s="4"/>
      <c r="B17" s="4" t="s">
        <v>68</v>
      </c>
      <c r="C17" s="2">
        <v>14</v>
      </c>
      <c r="D17" s="1" t="s">
        <v>12</v>
      </c>
      <c r="E17" s="2">
        <v>17</v>
      </c>
      <c r="F17" s="2">
        <v>34.200000000000003</v>
      </c>
      <c r="G17" s="2">
        <v>23.6</v>
      </c>
      <c r="H17" s="2">
        <v>107.7</v>
      </c>
      <c r="I17" s="11">
        <f t="shared" si="4"/>
        <v>21.912720519962861</v>
      </c>
      <c r="J17" s="6">
        <f t="shared" si="5"/>
        <v>21.91</v>
      </c>
      <c r="K17" s="2">
        <v>51.9</v>
      </c>
      <c r="L17" s="2">
        <v>20</v>
      </c>
      <c r="M17" s="2">
        <v>85</v>
      </c>
      <c r="N17" s="2">
        <v>26.5</v>
      </c>
      <c r="O17">
        <f t="shared" si="6"/>
        <v>59.099999999999994</v>
      </c>
      <c r="P17" s="2"/>
      <c r="Q17">
        <f t="shared" si="0"/>
        <v>0.21909999999999999</v>
      </c>
      <c r="R17">
        <f t="shared" si="1"/>
        <v>0.51900000000000002</v>
      </c>
      <c r="S17">
        <f t="shared" si="2"/>
        <v>0.2</v>
      </c>
      <c r="T17">
        <f t="shared" si="3"/>
        <v>0.85</v>
      </c>
      <c r="V17" s="12" t="s">
        <v>68</v>
      </c>
      <c r="W17" s="2">
        <v>0.59099999999999997</v>
      </c>
      <c r="X17">
        <v>13</v>
      </c>
      <c r="Y17" s="2">
        <v>107.7</v>
      </c>
      <c r="Z17" s="2"/>
      <c r="AA17">
        <f t="shared" si="7"/>
        <v>13</v>
      </c>
      <c r="AB17" s="2">
        <v>8</v>
      </c>
    </row>
    <row r="18" spans="1:28" x14ac:dyDescent="0.2">
      <c r="A18" s="4"/>
      <c r="B18" s="4" t="s">
        <v>75</v>
      </c>
      <c r="C18" s="2">
        <v>15</v>
      </c>
      <c r="D18" s="1" t="s">
        <v>13</v>
      </c>
      <c r="E18" s="2">
        <v>21</v>
      </c>
      <c r="F18" s="2">
        <v>32.200000000000003</v>
      </c>
      <c r="G18" s="2">
        <v>23.2</v>
      </c>
      <c r="H18" s="2">
        <v>112.2</v>
      </c>
      <c r="I18" s="11">
        <f t="shared" si="4"/>
        <v>20.677361853832441</v>
      </c>
      <c r="J18" s="6">
        <f t="shared" si="5"/>
        <v>20.68</v>
      </c>
      <c r="K18" s="2">
        <v>45.8</v>
      </c>
      <c r="L18" s="2">
        <v>40.299999999999997</v>
      </c>
      <c r="M18" s="2">
        <v>85.7</v>
      </c>
      <c r="N18" s="2">
        <v>20.3</v>
      </c>
      <c r="O18">
        <f t="shared" si="6"/>
        <v>85.7</v>
      </c>
      <c r="P18" s="2"/>
      <c r="Q18">
        <f t="shared" si="0"/>
        <v>0.20679999999999998</v>
      </c>
      <c r="R18">
        <f t="shared" si="1"/>
        <v>0.45799999999999996</v>
      </c>
      <c r="S18">
        <f t="shared" si="2"/>
        <v>0.40299999999999997</v>
      </c>
      <c r="T18">
        <f t="shared" si="3"/>
        <v>0.85699999999999998</v>
      </c>
      <c r="V18" s="12" t="s">
        <v>75</v>
      </c>
      <c r="W18" s="2">
        <v>0.85699999999999998</v>
      </c>
      <c r="X18">
        <v>18</v>
      </c>
      <c r="Y18" s="2">
        <v>112.2</v>
      </c>
      <c r="Z18" s="2"/>
      <c r="AA18">
        <f t="shared" si="7"/>
        <v>14</v>
      </c>
      <c r="AB18" s="2">
        <v>1</v>
      </c>
    </row>
    <row r="19" spans="1:28" x14ac:dyDescent="0.2">
      <c r="A19" s="4"/>
      <c r="B19" s="4" t="s">
        <v>80</v>
      </c>
      <c r="C19" s="2">
        <v>16</v>
      </c>
      <c r="D19" s="1" t="s">
        <v>14</v>
      </c>
      <c r="E19" s="2">
        <v>20</v>
      </c>
      <c r="F19" s="2">
        <v>32.200000000000003</v>
      </c>
      <c r="G19" s="2">
        <v>23.2</v>
      </c>
      <c r="H19" s="2">
        <v>113.1</v>
      </c>
      <c r="I19" s="11">
        <f t="shared" si="4"/>
        <v>20.512820512820511</v>
      </c>
      <c r="J19" s="6">
        <f t="shared" si="5"/>
        <v>20.51</v>
      </c>
      <c r="K19" s="2">
        <v>43.4</v>
      </c>
      <c r="L19" s="2">
        <v>32.200000000000003</v>
      </c>
      <c r="M19" s="2">
        <v>87.9</v>
      </c>
      <c r="N19" s="2">
        <v>20</v>
      </c>
      <c r="O19">
        <f t="shared" si="6"/>
        <v>66.7</v>
      </c>
      <c r="P19" s="2"/>
      <c r="Q19">
        <f t="shared" si="0"/>
        <v>0.2051</v>
      </c>
      <c r="R19">
        <f t="shared" si="1"/>
        <v>0.434</v>
      </c>
      <c r="S19">
        <f t="shared" si="2"/>
        <v>0.32200000000000001</v>
      </c>
      <c r="T19">
        <f t="shared" si="3"/>
        <v>0.879</v>
      </c>
      <c r="V19" s="12" t="s">
        <v>80</v>
      </c>
      <c r="W19" s="2">
        <v>0.66700000000000004</v>
      </c>
      <c r="X19">
        <v>14</v>
      </c>
      <c r="Y19" s="2">
        <v>113.1</v>
      </c>
      <c r="Z19" s="2"/>
      <c r="AA19">
        <f t="shared" si="7"/>
        <v>15</v>
      </c>
      <c r="AB19" s="2">
        <v>4</v>
      </c>
    </row>
    <row r="20" spans="1:28" x14ac:dyDescent="0.2">
      <c r="A20" s="4"/>
      <c r="B20" s="4" t="s">
        <v>81</v>
      </c>
      <c r="C20" s="2">
        <v>17</v>
      </c>
      <c r="D20" s="1" t="s">
        <v>15</v>
      </c>
      <c r="E20" s="2">
        <v>19</v>
      </c>
      <c r="F20" s="2">
        <v>36.1</v>
      </c>
      <c r="G20" s="2">
        <v>22.7</v>
      </c>
      <c r="H20" s="2">
        <v>106.2</v>
      </c>
      <c r="I20" s="11">
        <f t="shared" si="4"/>
        <v>21.374764595103578</v>
      </c>
      <c r="J20" s="6">
        <f t="shared" si="5"/>
        <v>21.37</v>
      </c>
      <c r="K20" s="2">
        <v>43.5</v>
      </c>
      <c r="L20" s="2">
        <v>26.9</v>
      </c>
      <c r="M20" s="2">
        <v>89.5</v>
      </c>
      <c r="N20" s="2">
        <v>19.7</v>
      </c>
      <c r="O20">
        <f t="shared" si="6"/>
        <v>63.6</v>
      </c>
      <c r="P20" s="2"/>
      <c r="Q20">
        <f t="shared" si="0"/>
        <v>0.2137</v>
      </c>
      <c r="R20">
        <f t="shared" si="1"/>
        <v>0.435</v>
      </c>
      <c r="S20">
        <f t="shared" si="2"/>
        <v>0.26899999999999996</v>
      </c>
      <c r="T20">
        <f t="shared" si="3"/>
        <v>0.89500000000000002</v>
      </c>
      <c r="V20" s="12" t="s">
        <v>81</v>
      </c>
      <c r="W20" s="2">
        <v>0.63600000000000001</v>
      </c>
      <c r="X20">
        <v>14</v>
      </c>
      <c r="Y20" s="2">
        <v>106.2</v>
      </c>
      <c r="Z20" s="2"/>
      <c r="AA20">
        <f t="shared" si="7"/>
        <v>16</v>
      </c>
      <c r="AB20" s="2">
        <v>5</v>
      </c>
    </row>
    <row r="21" spans="1:28" x14ac:dyDescent="0.2">
      <c r="A21" s="4"/>
      <c r="B21" s="4" t="s">
        <v>70</v>
      </c>
      <c r="C21" s="2">
        <v>19</v>
      </c>
      <c r="D21" s="1" t="s">
        <v>16</v>
      </c>
      <c r="E21" s="2">
        <v>17</v>
      </c>
      <c r="F21" s="2">
        <v>34.299999999999997</v>
      </c>
      <c r="G21" s="2">
        <v>21.8</v>
      </c>
      <c r="H21" s="2">
        <v>103</v>
      </c>
      <c r="I21" s="11">
        <f t="shared" si="4"/>
        <v>21.16504854368932</v>
      </c>
      <c r="J21" s="6">
        <f t="shared" si="5"/>
        <v>21.17</v>
      </c>
      <c r="K21" s="2">
        <v>44.2</v>
      </c>
      <c r="L21" s="2">
        <v>38</v>
      </c>
      <c r="M21" s="2">
        <v>84.7</v>
      </c>
      <c r="N21" s="2">
        <v>18.5</v>
      </c>
      <c r="O21">
        <f t="shared" si="6"/>
        <v>25</v>
      </c>
      <c r="P21" s="2"/>
      <c r="Q21">
        <f t="shared" si="0"/>
        <v>0.21170000000000003</v>
      </c>
      <c r="R21">
        <f t="shared" si="1"/>
        <v>0.442</v>
      </c>
      <c r="S21">
        <f t="shared" si="2"/>
        <v>0.38</v>
      </c>
      <c r="T21">
        <f t="shared" si="3"/>
        <v>0.84699999999999998</v>
      </c>
      <c r="V21" s="12" t="s">
        <v>70</v>
      </c>
      <c r="W21" s="2">
        <v>0.25</v>
      </c>
      <c r="X21">
        <v>6</v>
      </c>
      <c r="Y21" s="2">
        <v>103</v>
      </c>
      <c r="Z21" s="2"/>
      <c r="AA21">
        <f t="shared" si="7"/>
        <v>17</v>
      </c>
      <c r="AB21" s="2">
        <v>27</v>
      </c>
    </row>
    <row r="22" spans="1:28" x14ac:dyDescent="0.2">
      <c r="A22" s="4"/>
      <c r="B22" s="4" t="s">
        <v>76</v>
      </c>
      <c r="C22" s="2">
        <v>21</v>
      </c>
      <c r="D22" s="1" t="s">
        <v>17</v>
      </c>
      <c r="E22" s="2">
        <v>20</v>
      </c>
      <c r="F22" s="2">
        <v>35.700000000000003</v>
      </c>
      <c r="G22" s="2">
        <v>21.5</v>
      </c>
      <c r="H22" s="2">
        <v>110.4</v>
      </c>
      <c r="I22" s="11">
        <f t="shared" si="4"/>
        <v>19.474637681159418</v>
      </c>
      <c r="J22" s="6">
        <f t="shared" si="5"/>
        <v>19.47</v>
      </c>
      <c r="K22" s="2">
        <v>39.700000000000003</v>
      </c>
      <c r="L22" s="2">
        <v>30.2</v>
      </c>
      <c r="M22" s="2">
        <v>91.1</v>
      </c>
      <c r="N22" s="2">
        <v>20.2</v>
      </c>
      <c r="O22">
        <f t="shared" si="6"/>
        <v>50</v>
      </c>
      <c r="P22" s="2"/>
      <c r="Q22">
        <f t="shared" si="0"/>
        <v>0.19469999999999998</v>
      </c>
      <c r="R22">
        <f t="shared" si="1"/>
        <v>0.39700000000000002</v>
      </c>
      <c r="S22">
        <f t="shared" si="2"/>
        <v>0.30199999999999999</v>
      </c>
      <c r="T22">
        <f t="shared" si="3"/>
        <v>0.91099999999999992</v>
      </c>
      <c r="V22" s="12" t="s">
        <v>76</v>
      </c>
      <c r="W22" s="2">
        <v>0.5</v>
      </c>
      <c r="X22">
        <v>11</v>
      </c>
      <c r="Y22" s="2">
        <v>110.4</v>
      </c>
      <c r="Z22" s="2"/>
      <c r="AA22">
        <f t="shared" si="7"/>
        <v>18</v>
      </c>
      <c r="AB22" s="2">
        <v>17</v>
      </c>
    </row>
    <row r="23" spans="1:28" x14ac:dyDescent="0.2">
      <c r="A23" s="4"/>
      <c r="B23" t="s">
        <v>72</v>
      </c>
      <c r="C23" s="2">
        <v>22</v>
      </c>
      <c r="D23" s="1" t="s">
        <v>18</v>
      </c>
      <c r="E23" s="2">
        <v>19</v>
      </c>
      <c r="F23" s="2">
        <v>34.9</v>
      </c>
      <c r="G23" s="2">
        <v>21.2</v>
      </c>
      <c r="H23" s="2">
        <v>99</v>
      </c>
      <c r="I23" s="11">
        <f t="shared" si="4"/>
        <v>21.414141414141412</v>
      </c>
      <c r="J23" s="6">
        <f t="shared" si="5"/>
        <v>21.41</v>
      </c>
      <c r="K23" s="2">
        <v>41.1</v>
      </c>
      <c r="L23" s="2">
        <v>30</v>
      </c>
      <c r="M23" s="2">
        <v>78.5</v>
      </c>
      <c r="N23" s="2">
        <v>18.2</v>
      </c>
      <c r="O23">
        <f t="shared" si="6"/>
        <v>28.599999999999998</v>
      </c>
      <c r="P23" s="2"/>
      <c r="Q23">
        <f t="shared" si="0"/>
        <v>0.21410000000000001</v>
      </c>
      <c r="R23">
        <f t="shared" si="1"/>
        <v>0.41100000000000003</v>
      </c>
      <c r="S23">
        <f t="shared" si="2"/>
        <v>0.3</v>
      </c>
      <c r="T23">
        <f t="shared" si="3"/>
        <v>0.78500000000000003</v>
      </c>
      <c r="V23" s="12" t="s">
        <v>72</v>
      </c>
      <c r="W23" s="2">
        <v>0.28599999999999998</v>
      </c>
      <c r="X23">
        <v>6</v>
      </c>
      <c r="Y23" s="2">
        <v>99</v>
      </c>
      <c r="Z23" s="2"/>
      <c r="AA23">
        <f t="shared" si="7"/>
        <v>19</v>
      </c>
      <c r="AB23" s="2">
        <v>26</v>
      </c>
    </row>
    <row r="24" spans="1:28" x14ac:dyDescent="0.2">
      <c r="A24" s="4"/>
      <c r="B24" s="4" t="s">
        <v>64</v>
      </c>
      <c r="C24" s="2">
        <v>23</v>
      </c>
      <c r="D24" s="1" t="s">
        <v>19</v>
      </c>
      <c r="E24" s="2">
        <v>19</v>
      </c>
      <c r="F24" s="2">
        <v>35.4</v>
      </c>
      <c r="G24" s="2">
        <v>21</v>
      </c>
      <c r="H24" s="2">
        <v>107.4</v>
      </c>
      <c r="I24" s="11">
        <f t="shared" si="4"/>
        <v>19.553072625698324</v>
      </c>
      <c r="J24" s="6">
        <f t="shared" si="5"/>
        <v>19.55</v>
      </c>
      <c r="K24" s="2">
        <v>46</v>
      </c>
      <c r="L24" s="2">
        <v>32.5</v>
      </c>
      <c r="M24" s="2">
        <v>87.2</v>
      </c>
      <c r="N24" s="2">
        <v>22.6</v>
      </c>
      <c r="O24">
        <f t="shared" si="6"/>
        <v>37.5</v>
      </c>
      <c r="P24" s="2"/>
      <c r="Q24">
        <f t="shared" si="0"/>
        <v>0.19550000000000001</v>
      </c>
      <c r="R24">
        <f t="shared" si="1"/>
        <v>0.46</v>
      </c>
      <c r="S24">
        <f t="shared" si="2"/>
        <v>0.32500000000000001</v>
      </c>
      <c r="T24">
        <f t="shared" si="3"/>
        <v>0.872</v>
      </c>
      <c r="V24" s="12" t="s">
        <v>64</v>
      </c>
      <c r="W24" s="2">
        <v>0.375</v>
      </c>
      <c r="X24">
        <v>9</v>
      </c>
      <c r="Y24" s="2">
        <v>107.4</v>
      </c>
      <c r="Z24" s="2"/>
      <c r="AA24">
        <f t="shared" si="7"/>
        <v>20</v>
      </c>
      <c r="AB24" s="2">
        <v>24</v>
      </c>
    </row>
    <row r="25" spans="1:28" x14ac:dyDescent="0.2">
      <c r="A25" s="4"/>
      <c r="B25" s="4" t="s">
        <v>77</v>
      </c>
      <c r="C25" s="2">
        <v>27</v>
      </c>
      <c r="D25" s="1" t="s">
        <v>20</v>
      </c>
      <c r="E25" s="2">
        <v>23</v>
      </c>
      <c r="F25" s="2">
        <v>34.799999999999997</v>
      </c>
      <c r="G25" s="2">
        <v>20.3</v>
      </c>
      <c r="H25" s="2">
        <v>110</v>
      </c>
      <c r="I25" s="11">
        <f t="shared" si="4"/>
        <v>18.454545454545453</v>
      </c>
      <c r="J25" s="6">
        <f t="shared" si="5"/>
        <v>18.45</v>
      </c>
      <c r="K25" s="2">
        <v>43.2</v>
      </c>
      <c r="L25" s="2">
        <v>27.3</v>
      </c>
      <c r="M25" s="2">
        <v>74.8</v>
      </c>
      <c r="N25" s="2">
        <v>16.899999999999999</v>
      </c>
      <c r="O25">
        <f t="shared" si="6"/>
        <v>39.1</v>
      </c>
      <c r="P25" s="2"/>
      <c r="Q25">
        <f t="shared" si="0"/>
        <v>0.1845</v>
      </c>
      <c r="R25">
        <f t="shared" si="1"/>
        <v>0.43200000000000005</v>
      </c>
      <c r="S25">
        <f t="shared" si="2"/>
        <v>0.27300000000000002</v>
      </c>
      <c r="T25">
        <f t="shared" si="3"/>
        <v>0.748</v>
      </c>
      <c r="V25" s="12" t="s">
        <v>77</v>
      </c>
      <c r="W25" s="2">
        <v>0.39100000000000001</v>
      </c>
      <c r="X25">
        <v>9</v>
      </c>
      <c r="Y25" s="2">
        <v>110</v>
      </c>
      <c r="Z25" s="2"/>
      <c r="AA25">
        <f t="shared" si="7"/>
        <v>21</v>
      </c>
      <c r="AB25" s="2">
        <v>23</v>
      </c>
    </row>
    <row r="26" spans="1:28" x14ac:dyDescent="0.2">
      <c r="A26" s="4"/>
      <c r="B26" s="4" t="s">
        <v>57</v>
      </c>
      <c r="C26" s="2">
        <v>28</v>
      </c>
      <c r="D26" s="1" t="s">
        <v>21</v>
      </c>
      <c r="E26" s="2">
        <v>24</v>
      </c>
      <c r="F26" s="2">
        <v>33.299999999999997</v>
      </c>
      <c r="G26" s="2">
        <v>20</v>
      </c>
      <c r="H26" s="2">
        <v>114.9</v>
      </c>
      <c r="I26" s="11">
        <f t="shared" si="4"/>
        <v>17.406440382941689</v>
      </c>
      <c r="J26" s="6">
        <f t="shared" si="5"/>
        <v>17.41</v>
      </c>
      <c r="K26" s="2">
        <v>41.8</v>
      </c>
      <c r="L26" s="2">
        <v>39.1</v>
      </c>
      <c r="M26" s="2">
        <v>90</v>
      </c>
      <c r="N26" s="2">
        <v>24.7</v>
      </c>
      <c r="O26">
        <f t="shared" si="6"/>
        <v>54.2</v>
      </c>
      <c r="P26" s="2"/>
      <c r="Q26">
        <f t="shared" si="0"/>
        <v>0.1741</v>
      </c>
      <c r="R26">
        <f t="shared" si="1"/>
        <v>0.41799999999999998</v>
      </c>
      <c r="S26">
        <f t="shared" si="2"/>
        <v>0.39100000000000001</v>
      </c>
      <c r="T26">
        <f t="shared" si="3"/>
        <v>0.9</v>
      </c>
      <c r="V26" s="12" t="s">
        <v>57</v>
      </c>
      <c r="W26" s="2">
        <v>0.54200000000000004</v>
      </c>
      <c r="X26">
        <v>13</v>
      </c>
      <c r="Y26" s="2">
        <v>114.9</v>
      </c>
      <c r="Z26" s="2"/>
      <c r="AA26">
        <f t="shared" si="7"/>
        <v>22</v>
      </c>
      <c r="AB26" s="2">
        <v>13</v>
      </c>
    </row>
    <row r="27" spans="1:28" x14ac:dyDescent="0.2">
      <c r="A27" s="4"/>
      <c r="B27" s="4" t="s">
        <v>73</v>
      </c>
      <c r="C27" s="2">
        <v>29</v>
      </c>
      <c r="D27" s="1" t="s">
        <v>22</v>
      </c>
      <c r="E27" s="2">
        <v>17</v>
      </c>
      <c r="F27" s="2">
        <v>34.200000000000003</v>
      </c>
      <c r="G27" s="2">
        <v>19.899999999999999</v>
      </c>
      <c r="H27" s="2">
        <v>100</v>
      </c>
      <c r="I27" s="11">
        <f t="shared" si="4"/>
        <v>19.899999999999999</v>
      </c>
      <c r="J27" s="6">
        <f t="shared" si="5"/>
        <v>19.899999999999999</v>
      </c>
      <c r="K27" s="2">
        <v>42.1</v>
      </c>
      <c r="L27" s="2">
        <v>35.9</v>
      </c>
      <c r="M27" s="2">
        <v>86.6</v>
      </c>
      <c r="N27" s="2">
        <v>21.1</v>
      </c>
      <c r="O27">
        <f t="shared" si="6"/>
        <v>21.7</v>
      </c>
      <c r="P27" s="2"/>
      <c r="Q27">
        <f t="shared" si="0"/>
        <v>0.19899999999999998</v>
      </c>
      <c r="R27">
        <f t="shared" si="1"/>
        <v>0.42100000000000004</v>
      </c>
      <c r="S27">
        <f t="shared" si="2"/>
        <v>0.35899999999999999</v>
      </c>
      <c r="T27">
        <f t="shared" si="3"/>
        <v>0.86599999999999999</v>
      </c>
      <c r="V27" s="12" t="s">
        <v>73</v>
      </c>
      <c r="W27" s="2">
        <v>0.217</v>
      </c>
      <c r="X27">
        <v>5</v>
      </c>
      <c r="Y27" s="2">
        <v>100</v>
      </c>
      <c r="Z27" s="2"/>
      <c r="AA27">
        <f t="shared" si="7"/>
        <v>23</v>
      </c>
      <c r="AB27" s="2">
        <v>29</v>
      </c>
    </row>
    <row r="28" spans="1:28" x14ac:dyDescent="0.2">
      <c r="A28" s="4"/>
      <c r="B28" s="4" t="s">
        <v>79</v>
      </c>
      <c r="C28" s="2">
        <v>31</v>
      </c>
      <c r="D28" s="1" t="s">
        <v>23</v>
      </c>
      <c r="E28" s="2">
        <v>21</v>
      </c>
      <c r="F28" s="2">
        <v>38.299999999999997</v>
      </c>
      <c r="G28" s="2">
        <v>19.899999999999999</v>
      </c>
      <c r="H28" s="2">
        <v>105.2</v>
      </c>
      <c r="I28" s="11">
        <f t="shared" si="4"/>
        <v>18.916349809885929</v>
      </c>
      <c r="J28" s="6">
        <f t="shared" si="5"/>
        <v>18.920000000000002</v>
      </c>
      <c r="K28" s="2">
        <v>44.1</v>
      </c>
      <c r="L28" s="2">
        <v>38.700000000000003</v>
      </c>
      <c r="M28" s="2">
        <v>85.2</v>
      </c>
      <c r="N28" s="2">
        <v>21</v>
      </c>
      <c r="O28">
        <f t="shared" si="6"/>
        <v>40.9</v>
      </c>
      <c r="P28" s="2"/>
      <c r="Q28">
        <f t="shared" si="0"/>
        <v>0.18920000000000001</v>
      </c>
      <c r="R28">
        <f t="shared" si="1"/>
        <v>0.441</v>
      </c>
      <c r="S28">
        <f t="shared" si="2"/>
        <v>0.38700000000000001</v>
      </c>
      <c r="T28">
        <f t="shared" si="3"/>
        <v>0.85199999999999998</v>
      </c>
      <c r="V28" s="12" t="s">
        <v>79</v>
      </c>
      <c r="W28" s="2">
        <v>0.40899999999999997</v>
      </c>
      <c r="X28">
        <v>9</v>
      </c>
      <c r="Y28" s="2">
        <v>105.2</v>
      </c>
      <c r="Z28" s="2"/>
      <c r="AA28">
        <f t="shared" si="7"/>
        <v>24</v>
      </c>
      <c r="AB28" s="2">
        <v>22</v>
      </c>
    </row>
    <row r="29" spans="1:28" x14ac:dyDescent="0.2">
      <c r="A29" s="4"/>
      <c r="B29" s="4" t="s">
        <v>62</v>
      </c>
      <c r="C29" s="2">
        <v>33</v>
      </c>
      <c r="D29" s="1" t="s">
        <v>24</v>
      </c>
      <c r="E29" s="2">
        <v>20</v>
      </c>
      <c r="F29" s="2">
        <v>32.799999999999997</v>
      </c>
      <c r="G29" s="2">
        <v>19.5</v>
      </c>
      <c r="H29" s="2">
        <v>98.7</v>
      </c>
      <c r="I29" s="11">
        <f t="shared" si="4"/>
        <v>19.756838905775076</v>
      </c>
      <c r="J29" s="6">
        <f t="shared" si="5"/>
        <v>19.760000000000002</v>
      </c>
      <c r="K29" s="2">
        <v>40.4</v>
      </c>
      <c r="L29" s="2">
        <v>32.1</v>
      </c>
      <c r="M29" s="2">
        <v>83.6</v>
      </c>
      <c r="N29" s="2">
        <v>16.3</v>
      </c>
      <c r="O29">
        <f t="shared" si="6"/>
        <v>19</v>
      </c>
      <c r="P29" s="2"/>
      <c r="Q29">
        <f t="shared" si="0"/>
        <v>0.19760000000000003</v>
      </c>
      <c r="R29">
        <f t="shared" si="1"/>
        <v>0.40399999999999997</v>
      </c>
      <c r="S29">
        <f t="shared" si="2"/>
        <v>0.32100000000000001</v>
      </c>
      <c r="T29">
        <f t="shared" si="3"/>
        <v>0.83599999999999997</v>
      </c>
      <c r="V29" s="12" t="s">
        <v>62</v>
      </c>
      <c r="W29" s="2">
        <v>0.19</v>
      </c>
      <c r="X29">
        <v>4</v>
      </c>
      <c r="Y29" s="2">
        <v>98.7</v>
      </c>
      <c r="Z29" s="2"/>
      <c r="AA29">
        <f t="shared" si="7"/>
        <v>25</v>
      </c>
      <c r="AB29" s="2">
        <v>30</v>
      </c>
    </row>
    <row r="30" spans="1:28" x14ac:dyDescent="0.2">
      <c r="A30" s="4"/>
      <c r="B30" s="4" t="s">
        <v>71</v>
      </c>
      <c r="C30" s="2">
        <v>34</v>
      </c>
      <c r="D30" s="1" t="s">
        <v>25</v>
      </c>
      <c r="E30" s="2">
        <v>21</v>
      </c>
      <c r="F30" s="2">
        <v>35.200000000000003</v>
      </c>
      <c r="G30" s="2">
        <v>19.399999999999999</v>
      </c>
      <c r="H30" s="2">
        <v>106.5</v>
      </c>
      <c r="I30" s="11">
        <f t="shared" si="4"/>
        <v>18.215962441314552</v>
      </c>
      <c r="J30" s="6">
        <f t="shared" si="5"/>
        <v>18.22</v>
      </c>
      <c r="K30" s="2">
        <v>41.7</v>
      </c>
      <c r="L30" s="2">
        <v>32.5</v>
      </c>
      <c r="M30" s="2">
        <v>76</v>
      </c>
      <c r="N30" s="2">
        <v>21.9</v>
      </c>
      <c r="O30">
        <f t="shared" si="6"/>
        <v>52.400000000000006</v>
      </c>
      <c r="P30" s="2"/>
      <c r="Q30">
        <f t="shared" si="0"/>
        <v>0.1822</v>
      </c>
      <c r="R30">
        <f t="shared" si="1"/>
        <v>0.41700000000000004</v>
      </c>
      <c r="S30">
        <f t="shared" si="2"/>
        <v>0.32500000000000001</v>
      </c>
      <c r="T30">
        <f t="shared" si="3"/>
        <v>0.76</v>
      </c>
      <c r="V30" s="12" t="s">
        <v>71</v>
      </c>
      <c r="W30" s="2">
        <v>0.52400000000000002</v>
      </c>
      <c r="X30">
        <v>11</v>
      </c>
      <c r="Y30" s="2">
        <v>106.5</v>
      </c>
      <c r="Z30" s="2"/>
      <c r="AA30">
        <f t="shared" si="7"/>
        <v>26</v>
      </c>
      <c r="AB30" s="2">
        <v>14</v>
      </c>
    </row>
    <row r="31" spans="1:28" x14ac:dyDescent="0.2">
      <c r="B31" s="4" t="s">
        <v>78</v>
      </c>
      <c r="C31" s="2">
        <v>35</v>
      </c>
      <c r="D31" s="1" t="s">
        <v>26</v>
      </c>
      <c r="E31" s="2">
        <v>19</v>
      </c>
      <c r="F31" s="2">
        <v>34.700000000000003</v>
      </c>
      <c r="G31" s="2">
        <v>19.100000000000001</v>
      </c>
      <c r="H31" s="2">
        <v>107.2</v>
      </c>
      <c r="I31" s="11">
        <f t="shared" si="4"/>
        <v>17.817164179104477</v>
      </c>
      <c r="J31" s="6">
        <f t="shared" si="5"/>
        <v>17.82</v>
      </c>
      <c r="K31" s="2">
        <v>44.6</v>
      </c>
      <c r="L31" s="2">
        <v>30.6</v>
      </c>
      <c r="M31" s="2">
        <v>70</v>
      </c>
      <c r="N31" s="2">
        <v>25</v>
      </c>
      <c r="O31">
        <f t="shared" si="6"/>
        <v>31.6</v>
      </c>
      <c r="P31" s="2"/>
      <c r="Q31">
        <f t="shared" si="0"/>
        <v>0.1782</v>
      </c>
      <c r="R31">
        <f t="shared" si="1"/>
        <v>0.44600000000000001</v>
      </c>
      <c r="S31">
        <f t="shared" si="2"/>
        <v>0.30599999999999999</v>
      </c>
      <c r="T31">
        <f t="shared" si="3"/>
        <v>0.7</v>
      </c>
      <c r="V31" s="12" t="s">
        <v>78</v>
      </c>
      <c r="W31" s="2">
        <v>0.316</v>
      </c>
      <c r="X31">
        <v>6</v>
      </c>
      <c r="Y31" s="2">
        <v>107.2</v>
      </c>
      <c r="Z31" s="2"/>
      <c r="AA31">
        <f t="shared" si="7"/>
        <v>27</v>
      </c>
      <c r="AB31" s="2">
        <v>25</v>
      </c>
    </row>
    <row r="32" spans="1:28" x14ac:dyDescent="0.2">
      <c r="B32" s="4" t="s">
        <v>59</v>
      </c>
      <c r="C32" s="2">
        <v>42</v>
      </c>
      <c r="D32" s="1" t="s">
        <v>27</v>
      </c>
      <c r="E32" s="2">
        <v>20</v>
      </c>
      <c r="F32" s="2">
        <v>34.700000000000003</v>
      </c>
      <c r="G32" s="2">
        <v>18.5</v>
      </c>
      <c r="H32" s="2">
        <v>103.9</v>
      </c>
      <c r="I32" s="11">
        <f t="shared" si="4"/>
        <v>17.805582290664098</v>
      </c>
      <c r="J32" s="6">
        <f t="shared" si="5"/>
        <v>17.809999999999999</v>
      </c>
      <c r="K32" s="2">
        <v>45.8</v>
      </c>
      <c r="L32" s="2">
        <v>35.9</v>
      </c>
      <c r="M32" s="2">
        <v>84.8</v>
      </c>
      <c r="N32" s="2">
        <v>17</v>
      </c>
      <c r="O32">
        <f t="shared" si="6"/>
        <v>54.500000000000007</v>
      </c>
      <c r="P32" s="2"/>
      <c r="Q32">
        <f t="shared" si="0"/>
        <v>0.17809999999999998</v>
      </c>
      <c r="R32">
        <f t="shared" si="1"/>
        <v>0.45799999999999996</v>
      </c>
      <c r="S32">
        <f t="shared" si="2"/>
        <v>0.35899999999999999</v>
      </c>
      <c r="T32">
        <f t="shared" si="3"/>
        <v>0.84799999999999998</v>
      </c>
      <c r="V32" s="12" t="s">
        <v>59</v>
      </c>
      <c r="W32" s="2">
        <v>0.54500000000000004</v>
      </c>
      <c r="X32">
        <v>12</v>
      </c>
      <c r="Y32" s="2">
        <v>103.9</v>
      </c>
      <c r="Z32" s="2"/>
      <c r="AA32">
        <f t="shared" si="7"/>
        <v>28</v>
      </c>
      <c r="AB32" s="2">
        <v>10</v>
      </c>
    </row>
    <row r="33" spans="2:28" x14ac:dyDescent="0.2">
      <c r="B33" s="4" t="s">
        <v>74</v>
      </c>
      <c r="C33" s="2">
        <v>44</v>
      </c>
      <c r="D33" s="1" t="s">
        <v>28</v>
      </c>
      <c r="E33" s="2">
        <v>22</v>
      </c>
      <c r="F33" s="2">
        <v>35.6</v>
      </c>
      <c r="G33" s="2">
        <v>17.5</v>
      </c>
      <c r="H33" s="2">
        <v>106.5</v>
      </c>
      <c r="I33" s="11">
        <f t="shared" si="4"/>
        <v>16.431924882629108</v>
      </c>
      <c r="J33" s="6">
        <f t="shared" si="5"/>
        <v>16.43</v>
      </c>
      <c r="K33" s="2">
        <v>46.8</v>
      </c>
      <c r="L33" s="2">
        <v>36.6</v>
      </c>
      <c r="M33" s="2">
        <v>88.8</v>
      </c>
      <c r="N33" s="2">
        <v>18.5</v>
      </c>
      <c r="O33">
        <f t="shared" si="6"/>
        <v>50</v>
      </c>
      <c r="P33" s="2"/>
      <c r="Q33">
        <f t="shared" si="0"/>
        <v>0.1643</v>
      </c>
      <c r="R33">
        <f t="shared" si="1"/>
        <v>0.46799999999999997</v>
      </c>
      <c r="S33">
        <f t="shared" si="2"/>
        <v>0.36599999999999999</v>
      </c>
      <c r="T33">
        <f t="shared" si="3"/>
        <v>0.88800000000000001</v>
      </c>
      <c r="V33" s="12" t="s">
        <v>74</v>
      </c>
      <c r="W33" s="2">
        <v>0.5</v>
      </c>
      <c r="X33">
        <v>11</v>
      </c>
      <c r="Y33" s="2">
        <v>106.5</v>
      </c>
      <c r="Z33" s="2"/>
      <c r="AA33">
        <f t="shared" si="7"/>
        <v>29</v>
      </c>
      <c r="AB33" s="2">
        <v>17</v>
      </c>
    </row>
    <row r="34" spans="2:28" x14ac:dyDescent="0.2">
      <c r="B34" s="4" t="s">
        <v>63</v>
      </c>
      <c r="C34" s="2">
        <v>59</v>
      </c>
      <c r="D34" s="1" t="s">
        <v>82</v>
      </c>
      <c r="E34" s="2">
        <v>21</v>
      </c>
      <c r="F34" s="2">
        <v>31.6</v>
      </c>
      <c r="G34" s="2">
        <v>16</v>
      </c>
      <c r="H34" s="2">
        <v>104</v>
      </c>
      <c r="I34" s="11">
        <f t="shared" si="4"/>
        <v>15.384615384615385</v>
      </c>
      <c r="J34" s="6">
        <f t="shared" si="5"/>
        <v>15.38</v>
      </c>
      <c r="K34" s="2">
        <v>46.4</v>
      </c>
      <c r="L34" s="2">
        <v>34</v>
      </c>
      <c r="M34" s="2">
        <v>57.1</v>
      </c>
      <c r="N34" s="2">
        <v>20.3</v>
      </c>
      <c r="O34">
        <f t="shared" si="6"/>
        <v>23.799999999999997</v>
      </c>
      <c r="P34" s="2"/>
      <c r="Q34">
        <f t="shared" si="0"/>
        <v>0.15380000000000002</v>
      </c>
      <c r="R34">
        <f t="shared" si="1"/>
        <v>0.46399999999999997</v>
      </c>
      <c r="S34">
        <f t="shared" si="2"/>
        <v>0.34</v>
      </c>
      <c r="T34">
        <f t="shared" si="3"/>
        <v>0.57100000000000006</v>
      </c>
      <c r="V34" s="12" t="s">
        <v>63</v>
      </c>
      <c r="W34" s="2">
        <v>0.23799999999999999</v>
      </c>
      <c r="X34">
        <v>5</v>
      </c>
      <c r="Y34" s="2">
        <v>104</v>
      </c>
      <c r="Z34" s="2"/>
      <c r="AA34">
        <f t="shared" si="7"/>
        <v>30</v>
      </c>
      <c r="AB34" s="2">
        <v>28</v>
      </c>
    </row>
    <row r="37" spans="2:28" x14ac:dyDescent="0.2">
      <c r="B37" s="2"/>
      <c r="C37" s="2"/>
      <c r="D37" s="2"/>
    </row>
  </sheetData>
  <phoneticPr fontId="7" type="noConversion"/>
  <hyperlinks>
    <hyperlink ref="D5" r:id="rId1" display="https://www.nba.com/player/201142/traditional/" xr:uid="{8AC3A8F1-6DCF-B848-BEE0-23214090DDBF}"/>
    <hyperlink ref="D6" r:id="rId2" display="https://www.nba.com/player/201939/traditional/" xr:uid="{E18B9021-F7E5-9341-B91C-5EFABA380328}"/>
    <hyperlink ref="D7" r:id="rId3" display="https://www.nba.com/player/203507/traditional/" xr:uid="{F554C6F0-7C81-7D4F-95B9-A9071A841B29}"/>
    <hyperlink ref="D8" r:id="rId4" display="https://www.nba.com/player/1629027/traditional/" xr:uid="{B67FD6A8-F4B5-CC4B-908F-020ACED3D038}"/>
    <hyperlink ref="D9" r:id="rId5" display="https://www.nba.com/player/201942/traditional/" xr:uid="{4BA633EF-A7D4-934C-80E3-FB3F912B25E3}"/>
    <hyperlink ref="D10" r:id="rId6" display="https://www.nba.com/player/202331/traditional/" xr:uid="{028C2B62-A7C3-4F4C-9863-3B400786F9E8}"/>
    <hyperlink ref="D11" r:id="rId7" display="https://www.nba.com/player/203999/traditional/" xr:uid="{B123A661-8132-C340-A860-B646C517E60B}"/>
    <hyperlink ref="D12" r:id="rId8" display="https://www.nba.com/player/1629029/traditional/" xr:uid="{49FDF778-CDC6-BF4E-8396-BE2CB38A1CCB}"/>
    <hyperlink ref="D13" r:id="rId9" display="https://www.nba.com/player/1628369/traditional/" xr:uid="{E51F79B9-1BB1-0244-9BB5-18465DCBD265}"/>
    <hyperlink ref="D14" r:id="rId10" display="https://www.nba.com/player/203076/traditional/" xr:uid="{7A16E0D0-74C3-4D46-BB74-C903EECA1F8E}"/>
    <hyperlink ref="D15" r:id="rId11" display="https://www.nba.com/player/1629630/traditional/" xr:uid="{6E9C6723-EC37-0E4B-A8D5-95ED4523FF41}"/>
    <hyperlink ref="D16" r:id="rId12" display="https://www.nba.com/player/1626157/traditional/" xr:uid="{516F3C1B-206D-A34F-83F6-2223D86FAA41}"/>
    <hyperlink ref="D17" r:id="rId13" display="https://www.nba.com/player/202710/traditional/" xr:uid="{4B405668-FB0F-D04C-958C-7FBA2548C68B}"/>
    <hyperlink ref="D18" r:id="rId14" display="https://www.nba.com/player/1626164/traditional/" xr:uid="{4EAAC2CD-4E39-9743-B004-88943DF95E35}"/>
    <hyperlink ref="D19" r:id="rId15" display="https://www.nba.com/player/1628378/traditional/" xr:uid="{2EB09105-22C9-FC45-B8AB-FD3BC7922215}"/>
    <hyperlink ref="D20" r:id="rId16" display="https://www.nba.com/player/203078/traditional/" xr:uid="{0D6B1074-C19A-1F45-9FA5-24F81BC069F1}"/>
    <hyperlink ref="D21" r:id="rId17" display="https://www.nba.com/player/1627742/traditional/" xr:uid="{78EBBEFC-D5DE-484D-A051-41910113D729}"/>
    <hyperlink ref="D22" r:id="rId18" display="https://www.nba.com/player/203081/traditional/" xr:uid="{FB70CA73-2700-3440-9D44-74F83A6B37F3}"/>
    <hyperlink ref="D23" r:id="rId19" display="https://www.nba.com/player/1628983/traditional/" xr:uid="{CDCC2ED3-D9C4-3942-96E7-E456B16F6575}"/>
    <hyperlink ref="D24" r:id="rId20" display="https://www.nba.com/player/1627763/traditional/" xr:uid="{1580785E-6E87-8945-8548-F014C0BD350A}"/>
    <hyperlink ref="D25" r:id="rId21" display="https://www.nba.com/player/1628368/traditional/" xr:uid="{00EC1C13-7D53-D94B-B5C6-E63E5A070B11}"/>
    <hyperlink ref="D26" r:id="rId22" display="https://www.nba.com/player/1630163/traditional/" xr:uid="{EDA7641B-9797-5C42-A594-E08D1BC4A1EB}"/>
    <hyperlink ref="D27" r:id="rId23" display="https://www.nba.com/player/1630175/traditional/" xr:uid="{2AFF0A89-A7B6-8C44-880A-68BA9BCC6C77}"/>
    <hyperlink ref="D28" r:id="rId24" display="https://www.nba.com/player/1627832/traditional/" xr:uid="{E06D39E3-1EB6-BE4F-A90D-97DB5BB0AC00}"/>
    <hyperlink ref="D29" r:id="rId25" display="https://www.nba.com/player/203924/traditional/" xr:uid="{D0A1F98B-7A14-A54B-8824-E25180F794C8}"/>
    <hyperlink ref="D30" r:id="rId26" display="https://www.nba.com/player/203944/traditional/" xr:uid="{7D80AD6F-56F8-EA42-8D5D-6057A131E385}"/>
    <hyperlink ref="D31" r:id="rId27" display="https://www.nba.com/player/1627749/traditional/" xr:uid="{C4CE0DD7-D95F-F548-9328-CD62B8825197}"/>
    <hyperlink ref="D32" r:id="rId28" display="https://www.nba.com/player/1629636/traditional/" xr:uid="{7E477530-39F8-454F-ADA2-E3E42595D6A9}"/>
    <hyperlink ref="D33" r:id="rId29" display="https://www.nba.com/player/1630178/traditional/" xr:uid="{9FF6F7BC-1A96-6A4E-B4D6-A5861D687FE1}"/>
    <hyperlink ref="D34" r:id="rId30" display="https://www.nba.com/player/1626174/traditional/" xr:uid="{4A5803BC-D4CB-7E4E-8317-73FC468E7D86}"/>
  </hyperlinks>
  <pageMargins left="0.7" right="0.7" top="0.75" bottom="0.75" header="0.3" footer="0.3"/>
  <drawing r:id="rId3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54EA-1ABB-F64E-ABFA-92913A5F6597}">
  <dimension ref="A1:AD35"/>
  <sheetViews>
    <sheetView topLeftCell="I1" zoomScale="68" workbookViewId="0">
      <selection activeCell="U40" sqref="U40"/>
    </sheetView>
  </sheetViews>
  <sheetFormatPr baseColWidth="10" defaultRowHeight="16" x14ac:dyDescent="0.2"/>
  <cols>
    <col min="1" max="1" width="35.5" customWidth="1"/>
    <col min="2" max="3" width="20.83203125" customWidth="1"/>
    <col min="8" max="10" width="11.5" customWidth="1"/>
    <col min="15" max="16" width="14" customWidth="1"/>
    <col min="17" max="17" width="21.6640625" customWidth="1"/>
    <col min="18" max="18" width="23" customWidth="1"/>
    <col min="19" max="19" width="22.5" customWidth="1"/>
    <col min="20" max="22" width="14" customWidth="1"/>
    <col min="28" max="28" width="13.5" customWidth="1"/>
    <col min="30" max="30" width="25.33203125" customWidth="1"/>
  </cols>
  <sheetData>
    <row r="1" spans="1:30" x14ac:dyDescent="0.2">
      <c r="J1" t="s">
        <v>86</v>
      </c>
      <c r="K1" t="s">
        <v>87</v>
      </c>
      <c r="L1" t="s">
        <v>88</v>
      </c>
      <c r="M1" t="s">
        <v>89</v>
      </c>
      <c r="O1" t="s">
        <v>90</v>
      </c>
    </row>
    <row r="2" spans="1:30" x14ac:dyDescent="0.2">
      <c r="B2" t="s">
        <v>51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6" t="s">
        <v>84</v>
      </c>
      <c r="I2" s="3" t="s">
        <v>85</v>
      </c>
      <c r="J2" s="3" t="s">
        <v>85</v>
      </c>
      <c r="K2" s="3" t="s">
        <v>36</v>
      </c>
      <c r="L2" s="3" t="s">
        <v>39</v>
      </c>
      <c r="M2" s="3" t="s">
        <v>42</v>
      </c>
      <c r="N2" s="3" t="s">
        <v>50</v>
      </c>
      <c r="O2" s="6" t="s">
        <v>83</v>
      </c>
      <c r="P2" s="6"/>
      <c r="Q2" t="s">
        <v>51</v>
      </c>
      <c r="R2" s="3" t="s">
        <v>117</v>
      </c>
      <c r="S2" s="3" t="s">
        <v>30</v>
      </c>
      <c r="T2" s="3" t="s">
        <v>31</v>
      </c>
      <c r="U2" s="3" t="s">
        <v>32</v>
      </c>
      <c r="V2" s="3" t="s">
        <v>33</v>
      </c>
      <c r="W2" s="6" t="s">
        <v>84</v>
      </c>
      <c r="X2" s="3" t="s">
        <v>85</v>
      </c>
      <c r="Y2" s="3" t="s">
        <v>36</v>
      </c>
      <c r="Z2" s="3" t="s">
        <v>39</v>
      </c>
      <c r="AA2" s="3" t="s">
        <v>42</v>
      </c>
      <c r="AB2" s="3" t="s">
        <v>115</v>
      </c>
      <c r="AC2" s="3"/>
    </row>
    <row r="3" spans="1:30" x14ac:dyDescent="0.2">
      <c r="B3" t="s">
        <v>52</v>
      </c>
      <c r="C3" s="2">
        <v>1</v>
      </c>
      <c r="D3" s="1" t="s">
        <v>0</v>
      </c>
      <c r="E3" s="2">
        <v>20</v>
      </c>
      <c r="F3" s="2">
        <v>35.799999999999997</v>
      </c>
      <c r="G3" s="2">
        <v>28.6</v>
      </c>
      <c r="H3" s="2">
        <v>109.6</v>
      </c>
      <c r="I3" s="11">
        <f>G3/H3*100</f>
        <v>26.094890510948908</v>
      </c>
      <c r="J3" s="6">
        <f>ROUND(I3,2)</f>
        <v>26.09</v>
      </c>
      <c r="K3" s="2">
        <v>53.9</v>
      </c>
      <c r="L3" s="2">
        <v>38.9</v>
      </c>
      <c r="M3" s="2">
        <v>86.3</v>
      </c>
      <c r="N3" s="2">
        <v>30.2</v>
      </c>
      <c r="O3">
        <f>AB3*100</f>
        <v>71.399999999999991</v>
      </c>
      <c r="Q3" t="s">
        <v>52</v>
      </c>
      <c r="R3" s="2">
        <v>1</v>
      </c>
      <c r="S3" s="1" t="s">
        <v>0</v>
      </c>
      <c r="T3" s="2">
        <v>20</v>
      </c>
      <c r="U3" s="2">
        <v>35.799999999999997</v>
      </c>
      <c r="V3" s="2">
        <v>28.6</v>
      </c>
      <c r="W3" s="2">
        <v>109.6</v>
      </c>
      <c r="X3">
        <f t="shared" ref="X3:X32" si="0">J3/100</f>
        <v>0.26090000000000002</v>
      </c>
      <c r="Y3">
        <f t="shared" ref="Y3:Y32" si="1">K3/100</f>
        <v>0.53900000000000003</v>
      </c>
      <c r="Z3">
        <f t="shared" ref="Z3:Z32" si="2">L3/100</f>
        <v>0.38900000000000001</v>
      </c>
      <c r="AA3">
        <f t="shared" ref="AA3:AA32" si="3">M3/100</f>
        <v>0.86299999999999999</v>
      </c>
      <c r="AB3" s="2">
        <v>0.71399999999999997</v>
      </c>
    </row>
    <row r="4" spans="1:30" x14ac:dyDescent="0.2">
      <c r="B4" t="s">
        <v>53</v>
      </c>
      <c r="C4" s="2">
        <v>2</v>
      </c>
      <c r="D4" s="1" t="s">
        <v>1</v>
      </c>
      <c r="E4" s="2">
        <v>20</v>
      </c>
      <c r="F4" s="2">
        <v>34.299999999999997</v>
      </c>
      <c r="G4" s="2">
        <v>27.8</v>
      </c>
      <c r="H4" s="2">
        <v>113.1</v>
      </c>
      <c r="I4" s="11">
        <f t="shared" ref="I4:I32" si="4">G4/H4*100</f>
        <v>24.580017683465961</v>
      </c>
      <c r="J4" s="6">
        <f t="shared" ref="J4:J32" si="5">ROUND(I4,2)</f>
        <v>24.58</v>
      </c>
      <c r="K4" s="2">
        <v>45.2</v>
      </c>
      <c r="L4" s="2">
        <v>41.2</v>
      </c>
      <c r="M4" s="2">
        <v>94.3</v>
      </c>
      <c r="N4" s="2">
        <v>27.9</v>
      </c>
      <c r="O4">
        <f t="shared" ref="O4:O32" si="6">AB4*100</f>
        <v>85.7</v>
      </c>
      <c r="Q4" t="s">
        <v>53</v>
      </c>
      <c r="R4" s="2">
        <v>2</v>
      </c>
      <c r="S4" s="1" t="s">
        <v>1</v>
      </c>
      <c r="T4" s="2">
        <v>20</v>
      </c>
      <c r="U4" s="2">
        <v>34.299999999999997</v>
      </c>
      <c r="V4" s="2">
        <v>27.8</v>
      </c>
      <c r="W4" s="2">
        <v>113.1</v>
      </c>
      <c r="X4">
        <f t="shared" si="0"/>
        <v>0.24579999999999999</v>
      </c>
      <c r="Y4">
        <f t="shared" si="1"/>
        <v>0.45200000000000001</v>
      </c>
      <c r="Z4">
        <f t="shared" si="2"/>
        <v>0.41200000000000003</v>
      </c>
      <c r="AA4">
        <f t="shared" si="3"/>
        <v>0.94299999999999995</v>
      </c>
      <c r="AB4" s="2">
        <v>0.85699999999999998</v>
      </c>
    </row>
    <row r="5" spans="1:30" x14ac:dyDescent="0.2">
      <c r="B5" t="s">
        <v>54</v>
      </c>
      <c r="C5" s="2">
        <v>3</v>
      </c>
      <c r="D5" s="1" t="s">
        <v>2</v>
      </c>
      <c r="E5" s="2">
        <v>21</v>
      </c>
      <c r="F5" s="2">
        <v>32.700000000000003</v>
      </c>
      <c r="G5" s="2">
        <v>27.6</v>
      </c>
      <c r="H5" s="2">
        <v>110.6</v>
      </c>
      <c r="I5" s="11">
        <f t="shared" si="4"/>
        <v>24.954792043399639</v>
      </c>
      <c r="J5" s="6">
        <f t="shared" si="5"/>
        <v>24.95</v>
      </c>
      <c r="K5" s="2">
        <v>53.2</v>
      </c>
      <c r="L5" s="2">
        <v>27.6</v>
      </c>
      <c r="M5" s="2">
        <v>67.3</v>
      </c>
      <c r="N5" s="2">
        <v>33.1</v>
      </c>
      <c r="O5">
        <f t="shared" si="6"/>
        <v>63.6</v>
      </c>
      <c r="Q5" t="s">
        <v>54</v>
      </c>
      <c r="R5" s="2">
        <v>3</v>
      </c>
      <c r="S5" s="1" t="s">
        <v>2</v>
      </c>
      <c r="T5" s="2">
        <v>21</v>
      </c>
      <c r="U5" s="2">
        <v>32.700000000000003</v>
      </c>
      <c r="V5" s="2">
        <v>27.6</v>
      </c>
      <c r="W5" s="2">
        <v>110.6</v>
      </c>
      <c r="X5">
        <f t="shared" si="0"/>
        <v>0.2495</v>
      </c>
      <c r="Y5">
        <f t="shared" si="1"/>
        <v>0.53200000000000003</v>
      </c>
      <c r="Z5">
        <f t="shared" si="2"/>
        <v>0.27600000000000002</v>
      </c>
      <c r="AA5">
        <f t="shared" si="3"/>
        <v>0.67299999999999993</v>
      </c>
      <c r="AB5" s="2">
        <v>0.63600000000000001</v>
      </c>
    </row>
    <row r="6" spans="1:30" x14ac:dyDescent="0.2">
      <c r="B6" s="4" t="s">
        <v>55</v>
      </c>
      <c r="C6" s="2">
        <v>4</v>
      </c>
      <c r="D6" s="1" t="s">
        <v>3</v>
      </c>
      <c r="E6" s="2">
        <v>22</v>
      </c>
      <c r="F6" s="2">
        <v>34</v>
      </c>
      <c r="G6" s="2">
        <v>26.3</v>
      </c>
      <c r="H6" s="2">
        <v>110.5</v>
      </c>
      <c r="I6" s="11">
        <f t="shared" si="4"/>
        <v>23.800904977375566</v>
      </c>
      <c r="J6" s="6">
        <f t="shared" si="5"/>
        <v>23.8</v>
      </c>
      <c r="K6" s="2">
        <v>46.6</v>
      </c>
      <c r="L6" s="2">
        <v>38.799999999999997</v>
      </c>
      <c r="M6" s="2">
        <v>89.5</v>
      </c>
      <c r="N6" s="2">
        <v>25.1</v>
      </c>
      <c r="O6">
        <f t="shared" si="6"/>
        <v>54.500000000000007</v>
      </c>
      <c r="Q6" s="4" t="s">
        <v>55</v>
      </c>
      <c r="R6" s="2">
        <v>4</v>
      </c>
      <c r="S6" s="1" t="s">
        <v>3</v>
      </c>
      <c r="T6" s="2">
        <v>22</v>
      </c>
      <c r="U6" s="2">
        <v>34</v>
      </c>
      <c r="V6" s="2">
        <v>26.3</v>
      </c>
      <c r="W6" s="2">
        <v>110.5</v>
      </c>
      <c r="X6">
        <f t="shared" si="0"/>
        <v>0.23800000000000002</v>
      </c>
      <c r="Y6">
        <f t="shared" si="1"/>
        <v>0.46600000000000003</v>
      </c>
      <c r="Z6">
        <f t="shared" si="2"/>
        <v>0.38799999999999996</v>
      </c>
      <c r="AA6">
        <f t="shared" si="3"/>
        <v>0.89500000000000002</v>
      </c>
      <c r="AB6" s="2">
        <v>0.54500000000000004</v>
      </c>
      <c r="AD6" s="4"/>
    </row>
    <row r="7" spans="1:30" x14ac:dyDescent="0.2">
      <c r="A7" s="4"/>
      <c r="B7" s="4" t="s">
        <v>58</v>
      </c>
      <c r="C7" s="2">
        <v>5</v>
      </c>
      <c r="D7" s="1" t="s">
        <v>4</v>
      </c>
      <c r="E7" s="2">
        <v>22</v>
      </c>
      <c r="F7" s="2">
        <v>35</v>
      </c>
      <c r="G7" s="2">
        <v>25.9</v>
      </c>
      <c r="H7" s="2">
        <v>109.1</v>
      </c>
      <c r="I7" s="11">
        <f t="shared" si="4"/>
        <v>23.73968835930339</v>
      </c>
      <c r="J7" s="6">
        <f t="shared" si="5"/>
        <v>23.74</v>
      </c>
      <c r="K7" s="2">
        <v>48.9</v>
      </c>
      <c r="L7" s="2">
        <v>32.799999999999997</v>
      </c>
      <c r="M7" s="2">
        <v>89.6</v>
      </c>
      <c r="N7" s="2">
        <v>24.2</v>
      </c>
      <c r="O7">
        <f t="shared" si="6"/>
        <v>63.6</v>
      </c>
      <c r="Q7" s="4" t="s">
        <v>58</v>
      </c>
      <c r="R7" s="2">
        <v>5</v>
      </c>
      <c r="S7" s="1" t="s">
        <v>4</v>
      </c>
      <c r="T7" s="2">
        <v>22</v>
      </c>
      <c r="U7" s="2">
        <v>35</v>
      </c>
      <c r="V7" s="2">
        <v>25.9</v>
      </c>
      <c r="W7" s="2">
        <v>109.1</v>
      </c>
      <c r="X7">
        <f t="shared" si="0"/>
        <v>0.23739999999999997</v>
      </c>
      <c r="Y7">
        <f t="shared" si="1"/>
        <v>0.48899999999999999</v>
      </c>
      <c r="Z7">
        <f t="shared" si="2"/>
        <v>0.32799999999999996</v>
      </c>
      <c r="AA7">
        <f t="shared" si="3"/>
        <v>0.89599999999999991</v>
      </c>
      <c r="AB7" s="2">
        <v>0.63600000000000001</v>
      </c>
      <c r="AD7" s="4"/>
    </row>
    <row r="8" spans="1:30" x14ac:dyDescent="0.2">
      <c r="A8" s="4"/>
      <c r="B8" s="4" t="s">
        <v>65</v>
      </c>
      <c r="C8" s="2">
        <v>6</v>
      </c>
      <c r="D8" s="1" t="s">
        <v>5</v>
      </c>
      <c r="E8" s="2">
        <v>21</v>
      </c>
      <c r="F8" s="2">
        <v>35.5</v>
      </c>
      <c r="G8" s="2">
        <v>25.9</v>
      </c>
      <c r="H8" s="2">
        <v>105.6</v>
      </c>
      <c r="I8" s="11">
        <f t="shared" si="4"/>
        <v>24.526515151515152</v>
      </c>
      <c r="J8" s="6">
        <f t="shared" si="5"/>
        <v>24.53</v>
      </c>
      <c r="K8" s="2">
        <v>43.1</v>
      </c>
      <c r="L8" s="2">
        <v>33.200000000000003</v>
      </c>
      <c r="M8" s="2">
        <v>89.5</v>
      </c>
      <c r="N8" s="2">
        <v>23.2</v>
      </c>
      <c r="O8">
        <f t="shared" si="6"/>
        <v>50</v>
      </c>
      <c r="Q8" s="4" t="s">
        <v>65</v>
      </c>
      <c r="R8" s="2">
        <v>6</v>
      </c>
      <c r="S8" s="1" t="s">
        <v>5</v>
      </c>
      <c r="T8" s="2">
        <v>21</v>
      </c>
      <c r="U8" s="2">
        <v>35.5</v>
      </c>
      <c r="V8" s="2">
        <v>25.9</v>
      </c>
      <c r="W8" s="2">
        <v>105.6</v>
      </c>
      <c r="X8">
        <f t="shared" si="0"/>
        <v>0.24530000000000002</v>
      </c>
      <c r="Y8">
        <f t="shared" si="1"/>
        <v>0.43099999999999999</v>
      </c>
      <c r="Z8">
        <f t="shared" si="2"/>
        <v>0.33200000000000002</v>
      </c>
      <c r="AA8">
        <f t="shared" si="3"/>
        <v>0.89500000000000002</v>
      </c>
      <c r="AB8" s="2">
        <v>0.5</v>
      </c>
      <c r="AD8" s="4"/>
    </row>
    <row r="9" spans="1:30" x14ac:dyDescent="0.2">
      <c r="A9" s="4"/>
      <c r="B9" s="4" t="s">
        <v>61</v>
      </c>
      <c r="C9" s="2">
        <v>7</v>
      </c>
      <c r="D9" s="1" t="s">
        <v>6</v>
      </c>
      <c r="E9" s="2">
        <v>16</v>
      </c>
      <c r="F9" s="2">
        <v>32.700000000000003</v>
      </c>
      <c r="G9" s="2">
        <v>25.7</v>
      </c>
      <c r="H9" s="2">
        <v>103.6</v>
      </c>
      <c r="I9" s="11">
        <f t="shared" si="4"/>
        <v>24.806949806949806</v>
      </c>
      <c r="J9" s="6">
        <f t="shared" si="5"/>
        <v>24.81</v>
      </c>
      <c r="K9" s="2">
        <v>58</v>
      </c>
      <c r="L9" s="2">
        <v>38.200000000000003</v>
      </c>
      <c r="M9" s="2">
        <v>75.599999999999994</v>
      </c>
      <c r="N9" s="2">
        <v>36.1</v>
      </c>
      <c r="O9">
        <f t="shared" si="6"/>
        <v>47.599999999999994</v>
      </c>
      <c r="Q9" s="4" t="s">
        <v>61</v>
      </c>
      <c r="R9" s="2">
        <v>7</v>
      </c>
      <c r="S9" s="1" t="s">
        <v>6</v>
      </c>
      <c r="T9" s="2">
        <v>16</v>
      </c>
      <c r="U9" s="2">
        <v>32.700000000000003</v>
      </c>
      <c r="V9" s="2">
        <v>25.7</v>
      </c>
      <c r="W9" s="2">
        <v>103.6</v>
      </c>
      <c r="X9">
        <f t="shared" si="0"/>
        <v>0.24809999999999999</v>
      </c>
      <c r="Y9">
        <f t="shared" si="1"/>
        <v>0.57999999999999996</v>
      </c>
      <c r="Z9">
        <f t="shared" si="2"/>
        <v>0.38200000000000001</v>
      </c>
      <c r="AA9">
        <f t="shared" si="3"/>
        <v>0.75599999999999989</v>
      </c>
      <c r="AB9" s="2">
        <v>0.47599999999999998</v>
      </c>
      <c r="AD9" s="4"/>
    </row>
    <row r="10" spans="1:30" x14ac:dyDescent="0.2">
      <c r="A10" s="4"/>
      <c r="B10" s="4" t="s">
        <v>60</v>
      </c>
      <c r="C10" s="2">
        <v>8</v>
      </c>
      <c r="D10" s="1" t="s">
        <v>7</v>
      </c>
      <c r="E10" s="2">
        <v>17</v>
      </c>
      <c r="F10" s="2">
        <v>34.700000000000003</v>
      </c>
      <c r="G10" s="2">
        <v>25.6</v>
      </c>
      <c r="H10" s="2">
        <v>106</v>
      </c>
      <c r="I10" s="11">
        <f t="shared" si="4"/>
        <v>24.150943396226417</v>
      </c>
      <c r="J10" s="6">
        <f t="shared" si="5"/>
        <v>24.15</v>
      </c>
      <c r="K10" s="2">
        <v>45</v>
      </c>
      <c r="L10" s="2">
        <v>34.299999999999997</v>
      </c>
      <c r="M10" s="2">
        <v>66.7</v>
      </c>
      <c r="N10" s="2">
        <v>25.9</v>
      </c>
      <c r="O10">
        <f t="shared" si="6"/>
        <v>55.000000000000007</v>
      </c>
      <c r="Q10" s="4" t="s">
        <v>60</v>
      </c>
      <c r="R10" s="2">
        <v>8</v>
      </c>
      <c r="S10" s="1" t="s">
        <v>7</v>
      </c>
      <c r="T10" s="2">
        <v>17</v>
      </c>
      <c r="U10" s="2">
        <v>34.700000000000003</v>
      </c>
      <c r="V10" s="2">
        <v>25.6</v>
      </c>
      <c r="W10" s="2">
        <v>106</v>
      </c>
      <c r="X10">
        <f t="shared" si="0"/>
        <v>0.24149999999999999</v>
      </c>
      <c r="Y10">
        <f t="shared" si="1"/>
        <v>0.45</v>
      </c>
      <c r="Z10">
        <f t="shared" si="2"/>
        <v>0.34299999999999997</v>
      </c>
      <c r="AA10">
        <f t="shared" si="3"/>
        <v>0.66700000000000004</v>
      </c>
      <c r="AB10" s="2">
        <v>0.55000000000000004</v>
      </c>
      <c r="AD10" s="4"/>
    </row>
    <row r="11" spans="1:30" x14ac:dyDescent="0.2">
      <c r="A11" s="4"/>
      <c r="B11" s="4" t="s">
        <v>56</v>
      </c>
      <c r="C11" s="2">
        <v>10</v>
      </c>
      <c r="D11" s="1" t="s">
        <v>8</v>
      </c>
      <c r="E11" s="2">
        <v>22</v>
      </c>
      <c r="F11" s="2">
        <v>36.6</v>
      </c>
      <c r="G11" s="2">
        <v>24.4</v>
      </c>
      <c r="H11" s="2">
        <v>106.3</v>
      </c>
      <c r="I11" s="11">
        <f t="shared" si="4"/>
        <v>22.95390404515522</v>
      </c>
      <c r="J11" s="6">
        <f t="shared" si="5"/>
        <v>22.95</v>
      </c>
      <c r="K11" s="2">
        <v>39.700000000000003</v>
      </c>
      <c r="L11" s="2">
        <v>31.9</v>
      </c>
      <c r="M11" s="2">
        <v>80.8</v>
      </c>
      <c r="N11" s="2">
        <v>21.8</v>
      </c>
      <c r="O11">
        <f t="shared" si="6"/>
        <v>54.500000000000007</v>
      </c>
      <c r="Q11" s="4" t="s">
        <v>56</v>
      </c>
      <c r="R11" s="2">
        <v>10</v>
      </c>
      <c r="S11" s="1" t="s">
        <v>8</v>
      </c>
      <c r="T11" s="2">
        <v>22</v>
      </c>
      <c r="U11" s="2">
        <v>36.6</v>
      </c>
      <c r="V11" s="2">
        <v>24.4</v>
      </c>
      <c r="W11" s="2">
        <v>106.3</v>
      </c>
      <c r="X11">
        <f t="shared" si="0"/>
        <v>0.22949999999999998</v>
      </c>
      <c r="Y11">
        <f t="shared" si="1"/>
        <v>0.39700000000000002</v>
      </c>
      <c r="Z11">
        <f t="shared" si="2"/>
        <v>0.31900000000000001</v>
      </c>
      <c r="AA11">
        <f t="shared" si="3"/>
        <v>0.80799999999999994</v>
      </c>
      <c r="AB11" s="2">
        <v>0.54500000000000004</v>
      </c>
      <c r="AD11" s="4"/>
    </row>
    <row r="12" spans="1:30" x14ac:dyDescent="0.2">
      <c r="A12" s="4"/>
      <c r="B12" s="4" t="s">
        <v>66</v>
      </c>
      <c r="C12" s="2">
        <v>11</v>
      </c>
      <c r="D12" s="1" t="s">
        <v>9</v>
      </c>
      <c r="E12" s="2">
        <v>22</v>
      </c>
      <c r="F12" s="2">
        <v>35.700000000000003</v>
      </c>
      <c r="G12" s="2">
        <v>24.3</v>
      </c>
      <c r="H12" s="2">
        <v>111.6</v>
      </c>
      <c r="I12" s="11">
        <f t="shared" si="4"/>
        <v>21.7741935483871</v>
      </c>
      <c r="J12" s="6">
        <f t="shared" si="5"/>
        <v>21.77</v>
      </c>
      <c r="K12" s="2">
        <v>51.8</v>
      </c>
      <c r="L12" s="2">
        <v>19.600000000000001</v>
      </c>
      <c r="M12" s="2">
        <v>72.8</v>
      </c>
      <c r="N12" s="2">
        <v>28.2</v>
      </c>
      <c r="O12">
        <f t="shared" si="6"/>
        <v>52.2</v>
      </c>
      <c r="Q12" s="4" t="s">
        <v>66</v>
      </c>
      <c r="R12" s="2">
        <v>11</v>
      </c>
      <c r="S12" s="1" t="s">
        <v>9</v>
      </c>
      <c r="T12" s="2">
        <v>22</v>
      </c>
      <c r="U12" s="2">
        <v>35.700000000000003</v>
      </c>
      <c r="V12" s="2">
        <v>24.3</v>
      </c>
      <c r="W12" s="2">
        <v>111.6</v>
      </c>
      <c r="X12">
        <f t="shared" si="0"/>
        <v>0.2177</v>
      </c>
      <c r="Y12">
        <f t="shared" si="1"/>
        <v>0.51800000000000002</v>
      </c>
      <c r="Z12">
        <f t="shared" si="2"/>
        <v>0.19600000000000001</v>
      </c>
      <c r="AA12">
        <f t="shared" si="3"/>
        <v>0.72799999999999998</v>
      </c>
      <c r="AB12" s="2">
        <v>0.52200000000000002</v>
      </c>
      <c r="AD12" s="4"/>
    </row>
    <row r="13" spans="1:30" x14ac:dyDescent="0.2">
      <c r="A13" s="4"/>
      <c r="B13" s="4" t="s">
        <v>67</v>
      </c>
      <c r="C13" s="2">
        <v>12</v>
      </c>
      <c r="D13" s="1" t="s">
        <v>10</v>
      </c>
      <c r="E13" s="2">
        <v>19</v>
      </c>
      <c r="F13" s="2">
        <v>32.6</v>
      </c>
      <c r="G13" s="2">
        <v>24.1</v>
      </c>
      <c r="H13" s="2">
        <v>110</v>
      </c>
      <c r="I13" s="11">
        <f t="shared" si="4"/>
        <v>21.90909090909091</v>
      </c>
      <c r="J13" s="6">
        <f t="shared" si="5"/>
        <v>21.91</v>
      </c>
      <c r="K13" s="2">
        <v>47.6</v>
      </c>
      <c r="L13" s="2">
        <v>35.6</v>
      </c>
      <c r="M13" s="2">
        <v>77.7</v>
      </c>
      <c r="N13" s="2">
        <v>24</v>
      </c>
      <c r="O13">
        <f t="shared" si="6"/>
        <v>52.400000000000006</v>
      </c>
      <c r="Q13" s="4" t="s">
        <v>67</v>
      </c>
      <c r="R13" s="2">
        <v>12</v>
      </c>
      <c r="S13" s="1" t="s">
        <v>10</v>
      </c>
      <c r="T13" s="2">
        <v>19</v>
      </c>
      <c r="U13" s="2">
        <v>32.6</v>
      </c>
      <c r="V13" s="2">
        <v>24.1</v>
      </c>
      <c r="W13" s="2">
        <v>110</v>
      </c>
      <c r="X13">
        <f t="shared" si="0"/>
        <v>0.21909999999999999</v>
      </c>
      <c r="Y13">
        <f t="shared" si="1"/>
        <v>0.47600000000000003</v>
      </c>
      <c r="Z13">
        <f t="shared" si="2"/>
        <v>0.35600000000000004</v>
      </c>
      <c r="AA13">
        <f t="shared" si="3"/>
        <v>0.77700000000000002</v>
      </c>
      <c r="AB13" s="2">
        <v>0.52400000000000002</v>
      </c>
      <c r="AD13" s="4"/>
    </row>
    <row r="14" spans="1:30" x14ac:dyDescent="0.2">
      <c r="A14" s="4"/>
      <c r="B14" s="4" t="s">
        <v>69</v>
      </c>
      <c r="C14" s="2">
        <v>13</v>
      </c>
      <c r="D14" s="1" t="s">
        <v>11</v>
      </c>
      <c r="E14" s="2">
        <v>22</v>
      </c>
      <c r="F14" s="2">
        <v>34.299999999999997</v>
      </c>
      <c r="G14" s="2">
        <v>24</v>
      </c>
      <c r="H14" s="2">
        <v>108</v>
      </c>
      <c r="I14" s="11">
        <f t="shared" si="4"/>
        <v>22.222222222222221</v>
      </c>
      <c r="J14" s="6">
        <f t="shared" si="5"/>
        <v>22.22</v>
      </c>
      <c r="K14" s="2">
        <v>50.8</v>
      </c>
      <c r="L14" s="2">
        <v>44.2</v>
      </c>
      <c r="M14" s="2">
        <v>81.7</v>
      </c>
      <c r="N14" s="2">
        <v>25.5</v>
      </c>
      <c r="O14">
        <f t="shared" si="6"/>
        <v>50</v>
      </c>
      <c r="Q14" s="4" t="s">
        <v>69</v>
      </c>
      <c r="R14" s="2">
        <v>13</v>
      </c>
      <c r="S14" s="1" t="s">
        <v>11</v>
      </c>
      <c r="T14" s="2">
        <v>22</v>
      </c>
      <c r="U14" s="2">
        <v>34.299999999999997</v>
      </c>
      <c r="V14" s="2">
        <v>24</v>
      </c>
      <c r="W14" s="2">
        <v>108</v>
      </c>
      <c r="X14">
        <f t="shared" si="0"/>
        <v>0.22219999999999998</v>
      </c>
      <c r="Y14">
        <f t="shared" si="1"/>
        <v>0.50800000000000001</v>
      </c>
      <c r="Z14">
        <f t="shared" si="2"/>
        <v>0.442</v>
      </c>
      <c r="AA14">
        <f t="shared" si="3"/>
        <v>0.81700000000000006</v>
      </c>
      <c r="AB14" s="2">
        <v>0.5</v>
      </c>
      <c r="AD14" s="4"/>
    </row>
    <row r="15" spans="1:30" x14ac:dyDescent="0.2">
      <c r="A15" s="4"/>
      <c r="B15" s="4" t="s">
        <v>68</v>
      </c>
      <c r="C15" s="2">
        <v>14</v>
      </c>
      <c r="D15" s="1" t="s">
        <v>12</v>
      </c>
      <c r="E15" s="2">
        <v>17</v>
      </c>
      <c r="F15" s="2">
        <v>34.200000000000003</v>
      </c>
      <c r="G15" s="2">
        <v>23.6</v>
      </c>
      <c r="H15" s="2">
        <v>107.7</v>
      </c>
      <c r="I15" s="11">
        <f t="shared" si="4"/>
        <v>21.912720519962861</v>
      </c>
      <c r="J15" s="6">
        <f t="shared" si="5"/>
        <v>21.91</v>
      </c>
      <c r="K15" s="2">
        <v>51.9</v>
      </c>
      <c r="L15" s="2">
        <v>20</v>
      </c>
      <c r="M15" s="2">
        <v>85</v>
      </c>
      <c r="N15" s="2">
        <v>26.5</v>
      </c>
      <c r="O15">
        <f t="shared" si="6"/>
        <v>59.099999999999994</v>
      </c>
      <c r="Q15" s="4" t="s">
        <v>68</v>
      </c>
      <c r="R15" s="2">
        <v>14</v>
      </c>
      <c r="S15" s="1" t="s">
        <v>12</v>
      </c>
      <c r="T15" s="2">
        <v>17</v>
      </c>
      <c r="U15" s="2">
        <v>34.200000000000003</v>
      </c>
      <c r="V15" s="2">
        <v>23.6</v>
      </c>
      <c r="W15" s="2">
        <v>107.7</v>
      </c>
      <c r="X15">
        <f t="shared" si="0"/>
        <v>0.21909999999999999</v>
      </c>
      <c r="Y15">
        <f t="shared" si="1"/>
        <v>0.51900000000000002</v>
      </c>
      <c r="Z15">
        <f t="shared" si="2"/>
        <v>0.2</v>
      </c>
      <c r="AA15">
        <f t="shared" si="3"/>
        <v>0.85</v>
      </c>
      <c r="AB15" s="2">
        <v>0.59099999999999997</v>
      </c>
      <c r="AD15" s="4"/>
    </row>
    <row r="16" spans="1:30" x14ac:dyDescent="0.2">
      <c r="A16" s="4"/>
      <c r="B16" s="4" t="s">
        <v>75</v>
      </c>
      <c r="C16" s="2">
        <v>15</v>
      </c>
      <c r="D16" s="1" t="s">
        <v>13</v>
      </c>
      <c r="E16" s="2">
        <v>21</v>
      </c>
      <c r="F16" s="2">
        <v>32.200000000000003</v>
      </c>
      <c r="G16" s="2">
        <v>23.2</v>
      </c>
      <c r="H16" s="2">
        <v>112.2</v>
      </c>
      <c r="I16" s="11">
        <f t="shared" si="4"/>
        <v>20.677361853832441</v>
      </c>
      <c r="J16" s="6">
        <f t="shared" si="5"/>
        <v>20.68</v>
      </c>
      <c r="K16" s="2">
        <v>45.8</v>
      </c>
      <c r="L16" s="2">
        <v>40.299999999999997</v>
      </c>
      <c r="M16" s="2">
        <v>85.7</v>
      </c>
      <c r="N16" s="2">
        <v>20.3</v>
      </c>
      <c r="O16">
        <f t="shared" si="6"/>
        <v>85.7</v>
      </c>
      <c r="Q16" s="4" t="s">
        <v>75</v>
      </c>
      <c r="R16" s="2">
        <v>15</v>
      </c>
      <c r="S16" s="1" t="s">
        <v>13</v>
      </c>
      <c r="T16" s="2">
        <v>21</v>
      </c>
      <c r="U16" s="2">
        <v>32.200000000000003</v>
      </c>
      <c r="V16" s="2">
        <v>23.2</v>
      </c>
      <c r="W16" s="2">
        <v>112.2</v>
      </c>
      <c r="X16">
        <f t="shared" si="0"/>
        <v>0.20679999999999998</v>
      </c>
      <c r="Y16">
        <f t="shared" si="1"/>
        <v>0.45799999999999996</v>
      </c>
      <c r="Z16">
        <f t="shared" si="2"/>
        <v>0.40299999999999997</v>
      </c>
      <c r="AA16">
        <f t="shared" si="3"/>
        <v>0.85699999999999998</v>
      </c>
      <c r="AB16" s="2">
        <v>0.85699999999999998</v>
      </c>
      <c r="AD16" s="4"/>
    </row>
    <row r="17" spans="1:30" x14ac:dyDescent="0.2">
      <c r="A17" s="4"/>
      <c r="B17" s="4" t="s">
        <v>80</v>
      </c>
      <c r="C17" s="2">
        <v>16</v>
      </c>
      <c r="D17" s="1" t="s">
        <v>14</v>
      </c>
      <c r="E17" s="2">
        <v>20</v>
      </c>
      <c r="F17" s="2">
        <v>32.200000000000003</v>
      </c>
      <c r="G17" s="2">
        <v>23.2</v>
      </c>
      <c r="H17" s="2">
        <v>113.1</v>
      </c>
      <c r="I17" s="11">
        <f t="shared" si="4"/>
        <v>20.512820512820511</v>
      </c>
      <c r="J17" s="6">
        <f t="shared" si="5"/>
        <v>20.51</v>
      </c>
      <c r="K17" s="2">
        <v>43.4</v>
      </c>
      <c r="L17" s="2">
        <v>32.200000000000003</v>
      </c>
      <c r="M17" s="2">
        <v>87.9</v>
      </c>
      <c r="N17" s="2">
        <v>20</v>
      </c>
      <c r="O17">
        <f t="shared" si="6"/>
        <v>66.7</v>
      </c>
      <c r="Q17" s="4" t="s">
        <v>80</v>
      </c>
      <c r="R17" s="2">
        <v>16</v>
      </c>
      <c r="S17" s="1" t="s">
        <v>14</v>
      </c>
      <c r="T17" s="2">
        <v>20</v>
      </c>
      <c r="U17" s="2">
        <v>32.200000000000003</v>
      </c>
      <c r="V17" s="2">
        <v>23.2</v>
      </c>
      <c r="W17" s="2">
        <v>113.1</v>
      </c>
      <c r="X17">
        <f t="shared" si="0"/>
        <v>0.2051</v>
      </c>
      <c r="Y17">
        <f t="shared" si="1"/>
        <v>0.434</v>
      </c>
      <c r="Z17">
        <f t="shared" si="2"/>
        <v>0.32200000000000001</v>
      </c>
      <c r="AA17">
        <f t="shared" si="3"/>
        <v>0.879</v>
      </c>
      <c r="AB17" s="2">
        <v>0.66700000000000004</v>
      </c>
      <c r="AD17" s="4"/>
    </row>
    <row r="18" spans="1:30" x14ac:dyDescent="0.2">
      <c r="A18" s="4"/>
      <c r="B18" s="4" t="s">
        <v>81</v>
      </c>
      <c r="C18" s="2">
        <v>17</v>
      </c>
      <c r="D18" s="1" t="s">
        <v>15</v>
      </c>
      <c r="E18" s="2">
        <v>19</v>
      </c>
      <c r="F18" s="2">
        <v>36.1</v>
      </c>
      <c r="G18" s="2">
        <v>22.7</v>
      </c>
      <c r="H18" s="2">
        <v>106.2</v>
      </c>
      <c r="I18" s="11">
        <f t="shared" si="4"/>
        <v>21.374764595103578</v>
      </c>
      <c r="J18" s="6">
        <f t="shared" si="5"/>
        <v>21.37</v>
      </c>
      <c r="K18" s="2">
        <v>43.5</v>
      </c>
      <c r="L18" s="2">
        <v>26.9</v>
      </c>
      <c r="M18" s="2">
        <v>89.5</v>
      </c>
      <c r="N18" s="2">
        <v>19.7</v>
      </c>
      <c r="O18">
        <f t="shared" si="6"/>
        <v>63.6</v>
      </c>
      <c r="Q18" s="4" t="s">
        <v>81</v>
      </c>
      <c r="R18" s="2">
        <v>17</v>
      </c>
      <c r="S18" s="1" t="s">
        <v>15</v>
      </c>
      <c r="T18" s="2">
        <v>19</v>
      </c>
      <c r="U18" s="2">
        <v>36.1</v>
      </c>
      <c r="V18" s="2">
        <v>22.7</v>
      </c>
      <c r="W18" s="2">
        <v>106.2</v>
      </c>
      <c r="X18">
        <f t="shared" si="0"/>
        <v>0.2137</v>
      </c>
      <c r="Y18">
        <f t="shared" si="1"/>
        <v>0.435</v>
      </c>
      <c r="Z18">
        <f t="shared" si="2"/>
        <v>0.26899999999999996</v>
      </c>
      <c r="AA18">
        <f t="shared" si="3"/>
        <v>0.89500000000000002</v>
      </c>
      <c r="AB18" s="2">
        <v>0.63600000000000001</v>
      </c>
      <c r="AD18" s="4"/>
    </row>
    <row r="19" spans="1:30" x14ac:dyDescent="0.2">
      <c r="A19" s="4"/>
      <c r="B19" s="4" t="s">
        <v>70</v>
      </c>
      <c r="C19" s="2">
        <v>19</v>
      </c>
      <c r="D19" s="1" t="s">
        <v>16</v>
      </c>
      <c r="E19" s="2">
        <v>17</v>
      </c>
      <c r="F19" s="2">
        <v>34.299999999999997</v>
      </c>
      <c r="G19" s="2">
        <v>21.8</v>
      </c>
      <c r="H19" s="2">
        <v>103</v>
      </c>
      <c r="I19" s="11">
        <f t="shared" si="4"/>
        <v>21.16504854368932</v>
      </c>
      <c r="J19" s="6">
        <f t="shared" si="5"/>
        <v>21.17</v>
      </c>
      <c r="K19" s="2">
        <v>44.2</v>
      </c>
      <c r="L19" s="2">
        <v>38</v>
      </c>
      <c r="M19" s="2">
        <v>84.7</v>
      </c>
      <c r="N19" s="2">
        <v>18.5</v>
      </c>
      <c r="O19">
        <f t="shared" si="6"/>
        <v>25</v>
      </c>
      <c r="Q19" s="4" t="s">
        <v>70</v>
      </c>
      <c r="R19" s="2">
        <v>19</v>
      </c>
      <c r="S19" s="1" t="s">
        <v>16</v>
      </c>
      <c r="T19" s="2">
        <v>17</v>
      </c>
      <c r="U19" s="2">
        <v>34.299999999999997</v>
      </c>
      <c r="V19" s="2">
        <v>21.8</v>
      </c>
      <c r="W19" s="2">
        <v>103</v>
      </c>
      <c r="X19">
        <f t="shared" si="0"/>
        <v>0.21170000000000003</v>
      </c>
      <c r="Y19">
        <f t="shared" si="1"/>
        <v>0.442</v>
      </c>
      <c r="Z19">
        <f t="shared" si="2"/>
        <v>0.38</v>
      </c>
      <c r="AA19">
        <f t="shared" si="3"/>
        <v>0.84699999999999998</v>
      </c>
      <c r="AB19" s="2">
        <v>0.25</v>
      </c>
      <c r="AD19" s="4"/>
    </row>
    <row r="20" spans="1:30" x14ac:dyDescent="0.2">
      <c r="A20" s="4"/>
      <c r="B20" s="4" t="s">
        <v>76</v>
      </c>
      <c r="C20" s="2">
        <v>21</v>
      </c>
      <c r="D20" s="1" t="s">
        <v>17</v>
      </c>
      <c r="E20" s="2">
        <v>20</v>
      </c>
      <c r="F20" s="2">
        <v>35.700000000000003</v>
      </c>
      <c r="G20" s="2">
        <v>21.5</v>
      </c>
      <c r="H20" s="2">
        <v>110.4</v>
      </c>
      <c r="I20" s="11">
        <f t="shared" si="4"/>
        <v>19.474637681159418</v>
      </c>
      <c r="J20" s="6">
        <f t="shared" si="5"/>
        <v>19.47</v>
      </c>
      <c r="K20" s="2">
        <v>39.700000000000003</v>
      </c>
      <c r="L20" s="2">
        <v>30.2</v>
      </c>
      <c r="M20" s="2">
        <v>91.1</v>
      </c>
      <c r="N20" s="2">
        <v>20.2</v>
      </c>
      <c r="O20">
        <f t="shared" si="6"/>
        <v>50</v>
      </c>
      <c r="Q20" s="4" t="s">
        <v>76</v>
      </c>
      <c r="R20" s="2">
        <v>21</v>
      </c>
      <c r="S20" s="1" t="s">
        <v>17</v>
      </c>
      <c r="T20" s="2">
        <v>20</v>
      </c>
      <c r="U20" s="2">
        <v>35.700000000000003</v>
      </c>
      <c r="V20" s="2">
        <v>21.5</v>
      </c>
      <c r="W20" s="2">
        <v>110.4</v>
      </c>
      <c r="X20">
        <f t="shared" si="0"/>
        <v>0.19469999999999998</v>
      </c>
      <c r="Y20">
        <f t="shared" si="1"/>
        <v>0.39700000000000002</v>
      </c>
      <c r="Z20">
        <f t="shared" si="2"/>
        <v>0.30199999999999999</v>
      </c>
      <c r="AA20">
        <f t="shared" si="3"/>
        <v>0.91099999999999992</v>
      </c>
      <c r="AB20" s="2">
        <v>0.5</v>
      </c>
      <c r="AD20" s="4"/>
    </row>
    <row r="21" spans="1:30" x14ac:dyDescent="0.2">
      <c r="A21" s="4"/>
      <c r="B21" t="s">
        <v>72</v>
      </c>
      <c r="C21" s="2">
        <v>22</v>
      </c>
      <c r="D21" s="1" t="s">
        <v>18</v>
      </c>
      <c r="E21" s="2">
        <v>19</v>
      </c>
      <c r="F21" s="2">
        <v>34.9</v>
      </c>
      <c r="G21" s="2">
        <v>21.2</v>
      </c>
      <c r="H21" s="2">
        <v>99</v>
      </c>
      <c r="I21" s="11">
        <f t="shared" si="4"/>
        <v>21.414141414141412</v>
      </c>
      <c r="J21" s="6">
        <f t="shared" si="5"/>
        <v>21.41</v>
      </c>
      <c r="K21" s="2">
        <v>41.1</v>
      </c>
      <c r="L21" s="2">
        <v>30</v>
      </c>
      <c r="M21" s="2">
        <v>78.5</v>
      </c>
      <c r="N21" s="2">
        <v>18.2</v>
      </c>
      <c r="O21">
        <f t="shared" si="6"/>
        <v>28.599999999999998</v>
      </c>
      <c r="Q21" t="s">
        <v>72</v>
      </c>
      <c r="R21" s="2">
        <v>22</v>
      </c>
      <c r="S21" s="1" t="s">
        <v>18</v>
      </c>
      <c r="T21" s="2">
        <v>19</v>
      </c>
      <c r="U21" s="2">
        <v>34.9</v>
      </c>
      <c r="V21" s="2">
        <v>21.2</v>
      </c>
      <c r="W21" s="2">
        <v>99</v>
      </c>
      <c r="X21">
        <f t="shared" si="0"/>
        <v>0.21410000000000001</v>
      </c>
      <c r="Y21">
        <f t="shared" si="1"/>
        <v>0.41100000000000003</v>
      </c>
      <c r="Z21">
        <f t="shared" si="2"/>
        <v>0.3</v>
      </c>
      <c r="AA21">
        <f t="shared" si="3"/>
        <v>0.78500000000000003</v>
      </c>
      <c r="AB21" s="2">
        <v>0.28599999999999998</v>
      </c>
    </row>
    <row r="22" spans="1:30" x14ac:dyDescent="0.2">
      <c r="A22" s="4"/>
      <c r="B22" s="4" t="s">
        <v>64</v>
      </c>
      <c r="C22" s="2">
        <v>23</v>
      </c>
      <c r="D22" s="1" t="s">
        <v>19</v>
      </c>
      <c r="E22" s="2">
        <v>19</v>
      </c>
      <c r="F22" s="2">
        <v>35.4</v>
      </c>
      <c r="G22" s="2">
        <v>21</v>
      </c>
      <c r="H22" s="2">
        <v>107.4</v>
      </c>
      <c r="I22" s="11">
        <f t="shared" si="4"/>
        <v>19.553072625698324</v>
      </c>
      <c r="J22" s="6">
        <f t="shared" si="5"/>
        <v>19.55</v>
      </c>
      <c r="K22" s="2">
        <v>46</v>
      </c>
      <c r="L22" s="2">
        <v>32.5</v>
      </c>
      <c r="M22" s="2">
        <v>87.2</v>
      </c>
      <c r="N22" s="2">
        <v>22.6</v>
      </c>
      <c r="O22">
        <f t="shared" si="6"/>
        <v>37.5</v>
      </c>
      <c r="Q22" s="4" t="s">
        <v>64</v>
      </c>
      <c r="R22" s="2">
        <v>23</v>
      </c>
      <c r="S22" s="1" t="s">
        <v>19</v>
      </c>
      <c r="T22" s="2">
        <v>19</v>
      </c>
      <c r="U22" s="2">
        <v>35.4</v>
      </c>
      <c r="V22" s="2">
        <v>21</v>
      </c>
      <c r="W22" s="2">
        <v>107.4</v>
      </c>
      <c r="X22">
        <f t="shared" si="0"/>
        <v>0.19550000000000001</v>
      </c>
      <c r="Y22">
        <f t="shared" si="1"/>
        <v>0.46</v>
      </c>
      <c r="Z22">
        <f t="shared" si="2"/>
        <v>0.32500000000000001</v>
      </c>
      <c r="AA22">
        <f t="shared" si="3"/>
        <v>0.872</v>
      </c>
      <c r="AB22" s="2">
        <v>0.375</v>
      </c>
      <c r="AD22" s="4"/>
    </row>
    <row r="23" spans="1:30" x14ac:dyDescent="0.2">
      <c r="A23" s="4"/>
      <c r="B23" s="4" t="s">
        <v>77</v>
      </c>
      <c r="C23" s="2">
        <v>27</v>
      </c>
      <c r="D23" s="1" t="s">
        <v>20</v>
      </c>
      <c r="E23" s="2">
        <v>23</v>
      </c>
      <c r="F23" s="2">
        <v>34.799999999999997</v>
      </c>
      <c r="G23" s="2">
        <v>20.3</v>
      </c>
      <c r="H23" s="2">
        <v>110</v>
      </c>
      <c r="I23" s="11">
        <f t="shared" si="4"/>
        <v>18.454545454545453</v>
      </c>
      <c r="J23" s="6">
        <f t="shared" si="5"/>
        <v>18.45</v>
      </c>
      <c r="K23" s="2">
        <v>43.2</v>
      </c>
      <c r="L23" s="2">
        <v>27.3</v>
      </c>
      <c r="M23" s="2">
        <v>74.8</v>
      </c>
      <c r="N23" s="2">
        <v>16.899999999999999</v>
      </c>
      <c r="O23">
        <f t="shared" si="6"/>
        <v>39.1</v>
      </c>
      <c r="Q23" s="4" t="s">
        <v>77</v>
      </c>
      <c r="R23" s="2">
        <v>27</v>
      </c>
      <c r="S23" s="1" t="s">
        <v>20</v>
      </c>
      <c r="T23" s="2">
        <v>23</v>
      </c>
      <c r="U23" s="2">
        <v>34.799999999999997</v>
      </c>
      <c r="V23" s="2">
        <v>20.3</v>
      </c>
      <c r="W23" s="2">
        <v>110</v>
      </c>
      <c r="X23">
        <f t="shared" si="0"/>
        <v>0.1845</v>
      </c>
      <c r="Y23">
        <f t="shared" si="1"/>
        <v>0.43200000000000005</v>
      </c>
      <c r="Z23">
        <f t="shared" si="2"/>
        <v>0.27300000000000002</v>
      </c>
      <c r="AA23">
        <f t="shared" si="3"/>
        <v>0.748</v>
      </c>
      <c r="AB23" s="2">
        <v>0.39100000000000001</v>
      </c>
      <c r="AD23" s="4"/>
    </row>
    <row r="24" spans="1:30" x14ac:dyDescent="0.2">
      <c r="A24" s="4"/>
      <c r="B24" s="4" t="s">
        <v>57</v>
      </c>
      <c r="C24" s="2">
        <v>28</v>
      </c>
      <c r="D24" s="1" t="s">
        <v>21</v>
      </c>
      <c r="E24" s="2">
        <v>24</v>
      </c>
      <c r="F24" s="2">
        <v>33.299999999999997</v>
      </c>
      <c r="G24" s="2">
        <v>20</v>
      </c>
      <c r="H24" s="2">
        <v>114.9</v>
      </c>
      <c r="I24" s="11">
        <f t="shared" si="4"/>
        <v>17.406440382941689</v>
      </c>
      <c r="J24" s="6">
        <f t="shared" si="5"/>
        <v>17.41</v>
      </c>
      <c r="K24" s="2">
        <v>41.8</v>
      </c>
      <c r="L24" s="2">
        <v>39.1</v>
      </c>
      <c r="M24" s="2">
        <v>90</v>
      </c>
      <c r="N24" s="2">
        <v>24.7</v>
      </c>
      <c r="O24">
        <f t="shared" si="6"/>
        <v>54.2</v>
      </c>
      <c r="Q24" s="4" t="s">
        <v>57</v>
      </c>
      <c r="R24" s="2">
        <v>28</v>
      </c>
      <c r="S24" s="1" t="s">
        <v>21</v>
      </c>
      <c r="T24" s="2">
        <v>24</v>
      </c>
      <c r="U24" s="2">
        <v>33.299999999999997</v>
      </c>
      <c r="V24" s="2">
        <v>20</v>
      </c>
      <c r="W24" s="2">
        <v>114.9</v>
      </c>
      <c r="X24">
        <f t="shared" si="0"/>
        <v>0.1741</v>
      </c>
      <c r="Y24">
        <f t="shared" si="1"/>
        <v>0.41799999999999998</v>
      </c>
      <c r="Z24">
        <f t="shared" si="2"/>
        <v>0.39100000000000001</v>
      </c>
      <c r="AA24">
        <f t="shared" si="3"/>
        <v>0.9</v>
      </c>
      <c r="AB24" s="2">
        <v>0.54200000000000004</v>
      </c>
      <c r="AD24" s="4"/>
    </row>
    <row r="25" spans="1:30" x14ac:dyDescent="0.2">
      <c r="A25" s="4"/>
      <c r="B25" s="4" t="s">
        <v>73</v>
      </c>
      <c r="C25" s="2">
        <v>29</v>
      </c>
      <c r="D25" s="1" t="s">
        <v>22</v>
      </c>
      <c r="E25" s="2">
        <v>17</v>
      </c>
      <c r="F25" s="2">
        <v>34.200000000000003</v>
      </c>
      <c r="G25" s="2">
        <v>19.899999999999999</v>
      </c>
      <c r="H25" s="2">
        <v>100</v>
      </c>
      <c r="I25" s="11">
        <f t="shared" si="4"/>
        <v>19.899999999999999</v>
      </c>
      <c r="J25" s="6">
        <f t="shared" si="5"/>
        <v>19.899999999999999</v>
      </c>
      <c r="K25" s="2">
        <v>42.1</v>
      </c>
      <c r="L25" s="2">
        <v>35.9</v>
      </c>
      <c r="M25" s="2">
        <v>86.6</v>
      </c>
      <c r="N25" s="2">
        <v>21.1</v>
      </c>
      <c r="O25">
        <f t="shared" si="6"/>
        <v>21.7</v>
      </c>
      <c r="Q25" s="4" t="s">
        <v>73</v>
      </c>
      <c r="R25" s="2">
        <v>29</v>
      </c>
      <c r="S25" s="1" t="s">
        <v>22</v>
      </c>
      <c r="T25" s="2">
        <v>17</v>
      </c>
      <c r="U25" s="2">
        <v>34.200000000000003</v>
      </c>
      <c r="V25" s="2">
        <v>19.899999999999999</v>
      </c>
      <c r="W25" s="2">
        <v>100</v>
      </c>
      <c r="X25">
        <f t="shared" si="0"/>
        <v>0.19899999999999998</v>
      </c>
      <c r="Y25">
        <f t="shared" si="1"/>
        <v>0.42100000000000004</v>
      </c>
      <c r="Z25">
        <f t="shared" si="2"/>
        <v>0.35899999999999999</v>
      </c>
      <c r="AA25">
        <f t="shared" si="3"/>
        <v>0.86599999999999999</v>
      </c>
      <c r="AB25" s="2">
        <v>0.217</v>
      </c>
      <c r="AD25" s="4"/>
    </row>
    <row r="26" spans="1:30" x14ac:dyDescent="0.2">
      <c r="A26" s="4"/>
      <c r="B26" s="4" t="s">
        <v>79</v>
      </c>
      <c r="C26" s="2">
        <v>31</v>
      </c>
      <c r="D26" s="1" t="s">
        <v>23</v>
      </c>
      <c r="E26" s="2">
        <v>21</v>
      </c>
      <c r="F26" s="2">
        <v>38.299999999999997</v>
      </c>
      <c r="G26" s="2">
        <v>19.899999999999999</v>
      </c>
      <c r="H26" s="2">
        <v>105.2</v>
      </c>
      <c r="I26" s="11">
        <f t="shared" si="4"/>
        <v>18.916349809885929</v>
      </c>
      <c r="J26" s="6">
        <f t="shared" si="5"/>
        <v>18.920000000000002</v>
      </c>
      <c r="K26" s="2">
        <v>44.1</v>
      </c>
      <c r="L26" s="2">
        <v>38.700000000000003</v>
      </c>
      <c r="M26" s="2">
        <v>85.2</v>
      </c>
      <c r="N26" s="2">
        <v>21</v>
      </c>
      <c r="O26">
        <f t="shared" si="6"/>
        <v>40.9</v>
      </c>
      <c r="Q26" s="4" t="s">
        <v>79</v>
      </c>
      <c r="R26" s="2">
        <v>31</v>
      </c>
      <c r="S26" s="1" t="s">
        <v>23</v>
      </c>
      <c r="T26" s="2">
        <v>21</v>
      </c>
      <c r="U26" s="2">
        <v>38.299999999999997</v>
      </c>
      <c r="V26" s="2">
        <v>19.899999999999999</v>
      </c>
      <c r="W26" s="2">
        <v>105.2</v>
      </c>
      <c r="X26">
        <f t="shared" si="0"/>
        <v>0.18920000000000001</v>
      </c>
      <c r="Y26">
        <f t="shared" si="1"/>
        <v>0.441</v>
      </c>
      <c r="Z26">
        <f t="shared" si="2"/>
        <v>0.38700000000000001</v>
      </c>
      <c r="AA26">
        <f t="shared" si="3"/>
        <v>0.85199999999999998</v>
      </c>
      <c r="AB26" s="2">
        <v>0.40899999999999997</v>
      </c>
      <c r="AD26" s="4"/>
    </row>
    <row r="27" spans="1:30" x14ac:dyDescent="0.2">
      <c r="A27" s="4"/>
      <c r="B27" s="4" t="s">
        <v>62</v>
      </c>
      <c r="C27" s="2">
        <v>33</v>
      </c>
      <c r="D27" s="1" t="s">
        <v>24</v>
      </c>
      <c r="E27" s="2">
        <v>20</v>
      </c>
      <c r="F27" s="2">
        <v>32.799999999999997</v>
      </c>
      <c r="G27" s="2">
        <v>19.5</v>
      </c>
      <c r="H27" s="2">
        <v>98.7</v>
      </c>
      <c r="I27" s="11">
        <f t="shared" si="4"/>
        <v>19.756838905775076</v>
      </c>
      <c r="J27" s="6">
        <f t="shared" si="5"/>
        <v>19.760000000000002</v>
      </c>
      <c r="K27" s="2">
        <v>40.4</v>
      </c>
      <c r="L27" s="2">
        <v>32.1</v>
      </c>
      <c r="M27" s="2">
        <v>83.6</v>
      </c>
      <c r="N27" s="2">
        <v>16.3</v>
      </c>
      <c r="O27">
        <f t="shared" si="6"/>
        <v>19</v>
      </c>
      <c r="Q27" s="4" t="s">
        <v>62</v>
      </c>
      <c r="R27" s="2">
        <v>33</v>
      </c>
      <c r="S27" s="1" t="s">
        <v>24</v>
      </c>
      <c r="T27" s="2">
        <v>20</v>
      </c>
      <c r="U27" s="2">
        <v>32.799999999999997</v>
      </c>
      <c r="V27" s="2">
        <v>19.5</v>
      </c>
      <c r="W27" s="2">
        <v>98.7</v>
      </c>
      <c r="X27">
        <f t="shared" si="0"/>
        <v>0.19760000000000003</v>
      </c>
      <c r="Y27">
        <f t="shared" si="1"/>
        <v>0.40399999999999997</v>
      </c>
      <c r="Z27">
        <f t="shared" si="2"/>
        <v>0.32100000000000001</v>
      </c>
      <c r="AA27">
        <f t="shared" si="3"/>
        <v>0.83599999999999997</v>
      </c>
      <c r="AB27" s="2">
        <v>0.19</v>
      </c>
      <c r="AD27" s="4"/>
    </row>
    <row r="28" spans="1:30" x14ac:dyDescent="0.2">
      <c r="A28" s="4"/>
      <c r="B28" s="4" t="s">
        <v>71</v>
      </c>
      <c r="C28" s="2">
        <v>34</v>
      </c>
      <c r="D28" s="1" t="s">
        <v>25</v>
      </c>
      <c r="E28" s="2">
        <v>21</v>
      </c>
      <c r="F28" s="2">
        <v>35.200000000000003</v>
      </c>
      <c r="G28" s="2">
        <v>19.399999999999999</v>
      </c>
      <c r="H28" s="2">
        <v>106.5</v>
      </c>
      <c r="I28" s="11">
        <f t="shared" si="4"/>
        <v>18.215962441314552</v>
      </c>
      <c r="J28" s="6">
        <f t="shared" si="5"/>
        <v>18.22</v>
      </c>
      <c r="K28" s="2">
        <v>41.7</v>
      </c>
      <c r="L28" s="2">
        <v>32.5</v>
      </c>
      <c r="M28" s="2">
        <v>76</v>
      </c>
      <c r="N28" s="2">
        <v>21.9</v>
      </c>
      <c r="O28">
        <f t="shared" si="6"/>
        <v>52.400000000000006</v>
      </c>
      <c r="Q28" s="4" t="s">
        <v>71</v>
      </c>
      <c r="R28" s="2">
        <v>34</v>
      </c>
      <c r="S28" s="1" t="s">
        <v>25</v>
      </c>
      <c r="T28" s="2">
        <v>21</v>
      </c>
      <c r="U28" s="2">
        <v>35.200000000000003</v>
      </c>
      <c r="V28" s="2">
        <v>19.399999999999999</v>
      </c>
      <c r="W28" s="2">
        <v>106.5</v>
      </c>
      <c r="X28">
        <f t="shared" si="0"/>
        <v>0.1822</v>
      </c>
      <c r="Y28">
        <f t="shared" si="1"/>
        <v>0.41700000000000004</v>
      </c>
      <c r="Z28">
        <f t="shared" si="2"/>
        <v>0.32500000000000001</v>
      </c>
      <c r="AA28">
        <f t="shared" si="3"/>
        <v>0.76</v>
      </c>
      <c r="AB28" s="2">
        <v>0.52400000000000002</v>
      </c>
      <c r="AD28" s="4"/>
    </row>
    <row r="29" spans="1:30" x14ac:dyDescent="0.2">
      <c r="B29" s="4" t="s">
        <v>78</v>
      </c>
      <c r="C29" s="2">
        <v>35</v>
      </c>
      <c r="D29" s="1" t="s">
        <v>26</v>
      </c>
      <c r="E29" s="2">
        <v>19</v>
      </c>
      <c r="F29" s="2">
        <v>34.700000000000003</v>
      </c>
      <c r="G29" s="2">
        <v>19.100000000000001</v>
      </c>
      <c r="H29" s="2">
        <v>107.2</v>
      </c>
      <c r="I29" s="11">
        <f t="shared" si="4"/>
        <v>17.817164179104477</v>
      </c>
      <c r="J29" s="6">
        <f t="shared" si="5"/>
        <v>17.82</v>
      </c>
      <c r="K29" s="2">
        <v>44.6</v>
      </c>
      <c r="L29" s="2">
        <v>30.6</v>
      </c>
      <c r="M29" s="2">
        <v>70</v>
      </c>
      <c r="N29" s="2">
        <v>25</v>
      </c>
      <c r="O29">
        <f t="shared" si="6"/>
        <v>31.6</v>
      </c>
      <c r="Q29" s="4" t="s">
        <v>78</v>
      </c>
      <c r="R29" s="2">
        <v>35</v>
      </c>
      <c r="S29" s="1" t="s">
        <v>26</v>
      </c>
      <c r="T29" s="2">
        <v>19</v>
      </c>
      <c r="U29" s="2">
        <v>34.700000000000003</v>
      </c>
      <c r="V29" s="2">
        <v>19.100000000000001</v>
      </c>
      <c r="W29" s="2">
        <v>107.2</v>
      </c>
      <c r="X29">
        <f t="shared" si="0"/>
        <v>0.1782</v>
      </c>
      <c r="Y29">
        <f t="shared" si="1"/>
        <v>0.44600000000000001</v>
      </c>
      <c r="Z29">
        <f t="shared" si="2"/>
        <v>0.30599999999999999</v>
      </c>
      <c r="AA29">
        <f t="shared" si="3"/>
        <v>0.7</v>
      </c>
      <c r="AB29" s="2">
        <v>0.316</v>
      </c>
      <c r="AD29" s="4"/>
    </row>
    <row r="30" spans="1:30" x14ac:dyDescent="0.2">
      <c r="B30" s="4" t="s">
        <v>59</v>
      </c>
      <c r="C30" s="2">
        <v>42</v>
      </c>
      <c r="D30" s="1" t="s">
        <v>27</v>
      </c>
      <c r="E30" s="2">
        <v>20</v>
      </c>
      <c r="F30" s="2">
        <v>34.700000000000003</v>
      </c>
      <c r="G30" s="2">
        <v>18.5</v>
      </c>
      <c r="H30" s="2">
        <v>103.9</v>
      </c>
      <c r="I30" s="11">
        <f t="shared" si="4"/>
        <v>17.805582290664098</v>
      </c>
      <c r="J30" s="6">
        <f t="shared" si="5"/>
        <v>17.809999999999999</v>
      </c>
      <c r="K30" s="2">
        <v>45.8</v>
      </c>
      <c r="L30" s="2">
        <v>35.9</v>
      </c>
      <c r="M30" s="2">
        <v>84.8</v>
      </c>
      <c r="N30" s="2">
        <v>17</v>
      </c>
      <c r="O30">
        <f t="shared" si="6"/>
        <v>54.500000000000007</v>
      </c>
      <c r="Q30" s="4" t="s">
        <v>59</v>
      </c>
      <c r="R30" s="2">
        <v>42</v>
      </c>
      <c r="S30" s="1" t="s">
        <v>27</v>
      </c>
      <c r="T30" s="2">
        <v>20</v>
      </c>
      <c r="U30" s="2">
        <v>34.700000000000003</v>
      </c>
      <c r="V30" s="2">
        <v>18.5</v>
      </c>
      <c r="W30" s="2">
        <v>103.9</v>
      </c>
      <c r="X30">
        <f t="shared" si="0"/>
        <v>0.17809999999999998</v>
      </c>
      <c r="Y30">
        <f t="shared" si="1"/>
        <v>0.45799999999999996</v>
      </c>
      <c r="Z30">
        <f t="shared" si="2"/>
        <v>0.35899999999999999</v>
      </c>
      <c r="AA30">
        <f t="shared" si="3"/>
        <v>0.84799999999999998</v>
      </c>
      <c r="AB30" s="2">
        <v>0.54500000000000004</v>
      </c>
      <c r="AD30" s="4"/>
    </row>
    <row r="31" spans="1:30" x14ac:dyDescent="0.2">
      <c r="B31" s="4" t="s">
        <v>74</v>
      </c>
      <c r="C31" s="2">
        <v>44</v>
      </c>
      <c r="D31" s="1" t="s">
        <v>28</v>
      </c>
      <c r="E31" s="2">
        <v>22</v>
      </c>
      <c r="F31" s="2">
        <v>35.6</v>
      </c>
      <c r="G31" s="2">
        <v>17.5</v>
      </c>
      <c r="H31" s="2">
        <v>106.5</v>
      </c>
      <c r="I31" s="11">
        <f t="shared" si="4"/>
        <v>16.431924882629108</v>
      </c>
      <c r="J31" s="6">
        <f t="shared" si="5"/>
        <v>16.43</v>
      </c>
      <c r="K31" s="2">
        <v>46.8</v>
      </c>
      <c r="L31" s="2">
        <v>36.6</v>
      </c>
      <c r="M31" s="2">
        <v>88.8</v>
      </c>
      <c r="N31" s="2">
        <v>18.5</v>
      </c>
      <c r="O31">
        <f t="shared" si="6"/>
        <v>50</v>
      </c>
      <c r="Q31" s="4" t="s">
        <v>74</v>
      </c>
      <c r="R31" s="2">
        <v>44</v>
      </c>
      <c r="S31" s="1" t="s">
        <v>28</v>
      </c>
      <c r="T31" s="2">
        <v>22</v>
      </c>
      <c r="U31" s="2">
        <v>35.6</v>
      </c>
      <c r="V31" s="2">
        <v>17.5</v>
      </c>
      <c r="W31" s="2">
        <v>106.5</v>
      </c>
      <c r="X31">
        <f t="shared" si="0"/>
        <v>0.1643</v>
      </c>
      <c r="Y31">
        <f t="shared" si="1"/>
        <v>0.46799999999999997</v>
      </c>
      <c r="Z31">
        <f t="shared" si="2"/>
        <v>0.36599999999999999</v>
      </c>
      <c r="AA31">
        <f t="shared" si="3"/>
        <v>0.88800000000000001</v>
      </c>
      <c r="AB31" s="2">
        <v>0.5</v>
      </c>
      <c r="AD31" s="4"/>
    </row>
    <row r="32" spans="1:30" x14ac:dyDescent="0.2">
      <c r="B32" s="4" t="s">
        <v>63</v>
      </c>
      <c r="C32" s="2">
        <v>59</v>
      </c>
      <c r="D32" s="1" t="s">
        <v>82</v>
      </c>
      <c r="E32" s="2">
        <v>21</v>
      </c>
      <c r="F32" s="2">
        <v>31.6</v>
      </c>
      <c r="G32" s="2">
        <v>16</v>
      </c>
      <c r="H32" s="2">
        <v>104</v>
      </c>
      <c r="I32" s="11">
        <f t="shared" si="4"/>
        <v>15.384615384615385</v>
      </c>
      <c r="J32" s="6">
        <f t="shared" si="5"/>
        <v>15.38</v>
      </c>
      <c r="K32" s="2">
        <v>46.4</v>
      </c>
      <c r="L32" s="2">
        <v>34</v>
      </c>
      <c r="M32" s="2">
        <v>57.1</v>
      </c>
      <c r="N32" s="2">
        <v>20.3</v>
      </c>
      <c r="O32">
        <f t="shared" si="6"/>
        <v>23.799999999999997</v>
      </c>
      <c r="Q32" s="4" t="s">
        <v>63</v>
      </c>
      <c r="R32" s="2">
        <v>59</v>
      </c>
      <c r="S32" s="1" t="s">
        <v>82</v>
      </c>
      <c r="T32" s="2">
        <v>21</v>
      </c>
      <c r="U32" s="2">
        <v>31.6</v>
      </c>
      <c r="V32" s="2">
        <v>16</v>
      </c>
      <c r="W32" s="2">
        <v>104</v>
      </c>
      <c r="X32">
        <f t="shared" si="0"/>
        <v>0.15380000000000002</v>
      </c>
      <c r="Y32">
        <f t="shared" si="1"/>
        <v>0.46399999999999997</v>
      </c>
      <c r="Z32">
        <f t="shared" si="2"/>
        <v>0.34</v>
      </c>
      <c r="AA32">
        <f t="shared" si="3"/>
        <v>0.57100000000000006</v>
      </c>
      <c r="AB32" s="2">
        <v>0.23799999999999999</v>
      </c>
      <c r="AD32" s="4"/>
    </row>
    <row r="35" spans="2:4" x14ac:dyDescent="0.2">
      <c r="B35" s="2"/>
      <c r="C35" s="2"/>
      <c r="D35" s="2"/>
    </row>
  </sheetData>
  <hyperlinks>
    <hyperlink ref="D3" r:id="rId1" display="https://www.nba.com/player/201142/traditional/" xr:uid="{4A307B81-65EE-8E4F-8571-6B51D24B6116}"/>
    <hyperlink ref="D4" r:id="rId2" display="https://www.nba.com/player/201939/traditional/" xr:uid="{6481F5FF-2CA6-9E4E-B3C9-BFE2CDF2C336}"/>
    <hyperlink ref="D5" r:id="rId3" display="https://www.nba.com/player/203507/traditional/" xr:uid="{13AA6388-DB61-1742-9330-8E4B92049751}"/>
    <hyperlink ref="D6" r:id="rId4" display="https://www.nba.com/player/1629027/traditional/" xr:uid="{33497589-2B75-0447-90F6-78655ABAB15F}"/>
    <hyperlink ref="D7" r:id="rId5" display="https://www.nba.com/player/201942/traditional/" xr:uid="{23A6704A-4992-1A4D-8D3A-E5E1EACC834E}"/>
    <hyperlink ref="D8" r:id="rId6" display="https://www.nba.com/player/202331/traditional/" xr:uid="{58A58085-DF07-EE4D-BB5B-DFB409983009}"/>
    <hyperlink ref="D9" r:id="rId7" display="https://www.nba.com/player/203999/traditional/" xr:uid="{1415452D-0D1D-3F49-8153-3CFE117F35EA}"/>
    <hyperlink ref="D10" r:id="rId8" display="https://www.nba.com/player/1629029/traditional/" xr:uid="{FAD6B9D8-05A8-D844-BDD1-E0F9598D98AA}"/>
    <hyperlink ref="D11" r:id="rId9" display="https://www.nba.com/player/1628369/traditional/" xr:uid="{1CBB44E0-2CA0-E544-952D-01D2D837385C}"/>
    <hyperlink ref="D12" r:id="rId10" display="https://www.nba.com/player/203076/traditional/" xr:uid="{65D39A52-5190-D248-AF29-DFA453FFCEB5}"/>
    <hyperlink ref="D13" r:id="rId11" display="https://www.nba.com/player/1629630/traditional/" xr:uid="{FD053000-09E2-4D47-B305-ECFA4BAAAA8B}"/>
    <hyperlink ref="D14" r:id="rId12" display="https://www.nba.com/player/1626157/traditional/" xr:uid="{94F9BDE5-1FCE-8942-A301-F209B060A37F}"/>
    <hyperlink ref="D15" r:id="rId13" display="https://www.nba.com/player/202710/traditional/" xr:uid="{4AAAA359-80FC-F744-8A2B-49EF5721A40C}"/>
    <hyperlink ref="D16" r:id="rId14" display="https://www.nba.com/player/1626164/traditional/" xr:uid="{8496C206-6516-EF48-937C-D2B0247B7140}"/>
    <hyperlink ref="D17" r:id="rId15" display="https://www.nba.com/player/1628378/traditional/" xr:uid="{E39F9BA1-E680-B141-AFD3-063DF00FAE12}"/>
    <hyperlink ref="D18" r:id="rId16" display="https://www.nba.com/player/203078/traditional/" xr:uid="{C042051C-8F59-AE43-A0A8-B99D4802FA93}"/>
    <hyperlink ref="D19" r:id="rId17" display="https://www.nba.com/player/1627742/traditional/" xr:uid="{320FAC37-A4DA-984F-BC01-3382F759EC5F}"/>
    <hyperlink ref="D20" r:id="rId18" display="https://www.nba.com/player/203081/traditional/" xr:uid="{086AF232-58F1-E444-8B01-2477B52962C8}"/>
    <hyperlink ref="D21" r:id="rId19" display="https://www.nba.com/player/1628983/traditional/" xr:uid="{3ADC4817-78BD-6241-A54C-6C5C28B8EE3B}"/>
    <hyperlink ref="D22" r:id="rId20" display="https://www.nba.com/player/1627763/traditional/" xr:uid="{A0D4A189-B6E0-CA4D-804F-C31FBFBA7722}"/>
    <hyperlink ref="D23" r:id="rId21" display="https://www.nba.com/player/1628368/traditional/" xr:uid="{D71DF3D9-552D-CA4F-8B0B-C9EB8C6C694C}"/>
    <hyperlink ref="D24" r:id="rId22" display="https://www.nba.com/player/1630163/traditional/" xr:uid="{DE30CE9E-BF49-2840-9A16-3628BC717693}"/>
    <hyperlink ref="D25" r:id="rId23" display="https://www.nba.com/player/1630175/traditional/" xr:uid="{1AA4D121-5C4E-A24A-9155-2DA8014E804B}"/>
    <hyperlink ref="D26" r:id="rId24" display="https://www.nba.com/player/1627832/traditional/" xr:uid="{BD1AF858-4198-C541-AC12-897873ADCC3C}"/>
    <hyperlink ref="D27" r:id="rId25" display="https://www.nba.com/player/203924/traditional/" xr:uid="{9DA37305-3263-EA4D-A513-014F0631887D}"/>
    <hyperlink ref="D28" r:id="rId26" display="https://www.nba.com/player/203944/traditional/" xr:uid="{B25AE575-DED8-8A4A-928B-E00471D33539}"/>
    <hyperlink ref="D29" r:id="rId27" display="https://www.nba.com/player/1627749/traditional/" xr:uid="{382F4054-DB5D-F647-8691-A9EE17267757}"/>
    <hyperlink ref="D30" r:id="rId28" display="https://www.nba.com/player/1629636/traditional/" xr:uid="{796566AC-A21E-DB45-BEF0-6AB3831DEA2C}"/>
    <hyperlink ref="D31" r:id="rId29" display="https://www.nba.com/player/1630178/traditional/" xr:uid="{F0F32B72-200A-0B4D-A7BE-55597A8DCCB3}"/>
    <hyperlink ref="D32" r:id="rId30" display="https://www.nba.com/player/1626174/traditional/" xr:uid="{95D3E763-4A51-8142-A9F0-C5BB74201254}"/>
    <hyperlink ref="S3" r:id="rId31" display="https://www.nba.com/player/201142/traditional/" xr:uid="{33D3DBB0-33B7-EA4F-AB16-46F5FC6A70C1}"/>
    <hyperlink ref="S4" r:id="rId32" display="https://www.nba.com/player/201939/traditional/" xr:uid="{FE54EDD0-17D8-214D-90A8-7474C7D99FB7}"/>
    <hyperlink ref="S5" r:id="rId33" display="https://www.nba.com/player/203507/traditional/" xr:uid="{C9635771-9CE6-3C48-9F94-0D27E8E9AF9E}"/>
    <hyperlink ref="S6" r:id="rId34" display="https://www.nba.com/player/1629027/traditional/" xr:uid="{0E59A4D1-2878-9A43-8EC9-B9239E603884}"/>
    <hyperlink ref="S7" r:id="rId35" display="https://www.nba.com/player/201942/traditional/" xr:uid="{5F9ACD5F-1BE6-CA43-93B1-03F1F413B7D1}"/>
    <hyperlink ref="S8" r:id="rId36" display="https://www.nba.com/player/202331/traditional/" xr:uid="{9B6FE90C-2B7F-BF4F-B37D-27623F362CF6}"/>
    <hyperlink ref="S9" r:id="rId37" display="https://www.nba.com/player/203999/traditional/" xr:uid="{746F975C-4D07-7949-9B09-4CE5991C06D1}"/>
    <hyperlink ref="S10" r:id="rId38" display="https://www.nba.com/player/1629029/traditional/" xr:uid="{1BE0C00C-9D02-1041-A1D6-8C275ACC8B9E}"/>
    <hyperlink ref="S11" r:id="rId39" display="https://www.nba.com/player/1628369/traditional/" xr:uid="{834999B7-8282-3444-8316-3BEF13FB5DF4}"/>
    <hyperlink ref="S12" r:id="rId40" display="https://www.nba.com/player/203076/traditional/" xr:uid="{5010CF3C-921F-AA47-BE05-8406A10A127C}"/>
    <hyperlink ref="S13" r:id="rId41" display="https://www.nba.com/player/1629630/traditional/" xr:uid="{BE56476D-659C-2641-AEAC-343392807AAD}"/>
    <hyperlink ref="S14" r:id="rId42" display="https://www.nba.com/player/1626157/traditional/" xr:uid="{3EF3E5E4-6789-E744-B523-85E5A621C5EF}"/>
    <hyperlink ref="S15" r:id="rId43" display="https://www.nba.com/player/202710/traditional/" xr:uid="{473A9C08-92AB-344B-AED1-8F4B2693F4E2}"/>
    <hyperlink ref="S16" r:id="rId44" display="https://www.nba.com/player/1626164/traditional/" xr:uid="{9D6FEF7F-990B-7349-B5B3-8C5D6563B2C1}"/>
    <hyperlink ref="S17" r:id="rId45" display="https://www.nba.com/player/1628378/traditional/" xr:uid="{1DF157CC-F754-A049-8C2B-1838AD618804}"/>
    <hyperlink ref="S18" r:id="rId46" display="https://www.nba.com/player/203078/traditional/" xr:uid="{ECA1E8F4-DC7D-2D4B-BA5F-ACAFD22E5AF5}"/>
    <hyperlink ref="S19" r:id="rId47" display="https://www.nba.com/player/1627742/traditional/" xr:uid="{5CE0AAAB-96D5-084C-9428-B23730214D43}"/>
    <hyperlink ref="S20" r:id="rId48" display="https://www.nba.com/player/203081/traditional/" xr:uid="{D9086F9A-8CE4-0B44-8172-0AF761436D26}"/>
    <hyperlink ref="S21" r:id="rId49" display="https://www.nba.com/player/1628983/traditional/" xr:uid="{659942E8-6131-CC4E-B56D-1E2CC721D48B}"/>
    <hyperlink ref="S22" r:id="rId50" display="https://www.nba.com/player/1627763/traditional/" xr:uid="{4A862C40-3D15-2E44-8400-6C478A0AF7EE}"/>
    <hyperlink ref="S23" r:id="rId51" display="https://www.nba.com/player/1628368/traditional/" xr:uid="{9F942698-0C68-564B-955B-755A20E722BC}"/>
    <hyperlink ref="S24" r:id="rId52" display="https://www.nba.com/player/1630163/traditional/" xr:uid="{81EBBAA0-3FDE-554C-9DE4-85B6710E91B9}"/>
    <hyperlink ref="S25" r:id="rId53" display="https://www.nba.com/player/1630175/traditional/" xr:uid="{6BAB7464-E92E-B14A-9FE3-A3D530FA22F1}"/>
    <hyperlink ref="S26" r:id="rId54" display="https://www.nba.com/player/1627832/traditional/" xr:uid="{596E0359-CB57-FE4A-9DC6-AD4E4255E219}"/>
    <hyperlink ref="S27" r:id="rId55" display="https://www.nba.com/player/203924/traditional/" xr:uid="{5557F451-B778-1D41-8BE0-DAD32513F41F}"/>
    <hyperlink ref="S28" r:id="rId56" display="https://www.nba.com/player/203944/traditional/" xr:uid="{24076D2E-55C1-4749-803A-F89C1D302E42}"/>
    <hyperlink ref="S29" r:id="rId57" display="https://www.nba.com/player/1627749/traditional/" xr:uid="{8E4B92E7-2D0B-7249-990D-D08D45EDB8AF}"/>
    <hyperlink ref="S30" r:id="rId58" display="https://www.nba.com/player/1629636/traditional/" xr:uid="{2C597040-EB94-0042-9FCE-8FAF26E27257}"/>
    <hyperlink ref="S31" r:id="rId59" display="https://www.nba.com/player/1630178/traditional/" xr:uid="{C77C9085-92F3-6941-B9F5-0496027AD5C8}"/>
    <hyperlink ref="S32" r:id="rId60" display="https://www.nba.com/player/1626174/traditional/" xr:uid="{018CB2B4-6F9A-4940-B790-8ECDD44B94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Sheet7</vt:lpstr>
      <vt:lpstr>2(FGM-3PM)+3(3PM)+FTM vs TTW</vt:lpstr>
      <vt:lpstr>2(FGM-3PM)+3(3PM)+FTM vs PPG</vt:lpstr>
      <vt:lpstr>Full Data Sheet</vt:lpstr>
      <vt:lpstr>X1-X4</vt:lpstr>
      <vt:lpstr>xx1-xx4</vt:lpstr>
      <vt:lpstr>Time and Data</vt:lpstr>
      <vt:lpstr>ppg + team ppg vs win %</vt:lpstr>
      <vt:lpstr>ppg + team ppg vs team win</vt:lpstr>
      <vt:lpstr>team ppg+team win vs ppg</vt:lpstr>
      <vt:lpstr>Simplified Data Sheet</vt:lpstr>
      <vt:lpstr>More Simplified 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2021-12-02T19:50:00Z</dcterms:created>
  <dcterms:modified xsi:type="dcterms:W3CDTF">2021-12-10T03:20:18Z</dcterms:modified>
</cp:coreProperties>
</file>